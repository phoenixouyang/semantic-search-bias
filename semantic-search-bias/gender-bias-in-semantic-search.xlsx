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6c3e3ed15caa21/Documents/seneca/semester-4/AIP444/research-project/"/>
    </mc:Choice>
  </mc:AlternateContent>
  <xr:revisionPtr revIDLastSave="157" documentId="8_{42A2497A-E4AC-413F-969A-BE7834F7807D}" xr6:coauthVersionLast="47" xr6:coauthVersionMax="47" xr10:uidLastSave="{3477FDDA-BC71-4867-ABB6-D587A600016E}"/>
  <bookViews>
    <workbookView xWindow="-120" yWindow="-120" windowWidth="38640" windowHeight="21120" xr2:uid="{C4A492B4-9F0E-451F-B28E-FB209EC6BAED}"/>
  </bookViews>
  <sheets>
    <sheet name="Summary" sheetId="3" r:id="rId1"/>
    <sheet name="Sheet4" sheetId="4" state="hidden" r:id="rId2"/>
    <sheet name="data" sheetId="1" r:id="rId3"/>
    <sheet name="mappings" sheetId="2" r:id="rId4"/>
  </sheets>
  <definedNames>
    <definedName name="_xlnm._FilterDatabase" localSheetId="2" hidden="1">data!$A$1:$F$1201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3" l="1"/>
  <c r="G115" i="3"/>
  <c r="G94" i="3"/>
  <c r="G90" i="3"/>
  <c r="G87" i="3"/>
  <c r="G82" i="3"/>
  <c r="G76" i="3"/>
  <c r="G68" i="3"/>
  <c r="G62" i="3"/>
  <c r="G58" i="3"/>
  <c r="G50" i="3"/>
  <c r="G33" i="3"/>
  <c r="G21" i="3"/>
  <c r="G14" i="3"/>
  <c r="D123" i="3"/>
  <c r="C123" i="3"/>
  <c r="D122" i="3"/>
  <c r="C122" i="3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103" i="3" l="1"/>
  <c r="E111" i="3"/>
  <c r="E95" i="3"/>
  <c r="E110" i="3"/>
  <c r="F100" i="3"/>
  <c r="E11" i="3"/>
  <c r="E20" i="3"/>
  <c r="E29" i="3"/>
  <c r="E38" i="3"/>
  <c r="E46" i="3"/>
  <c r="E55" i="3"/>
  <c r="E65" i="3"/>
  <c r="E74" i="3"/>
  <c r="E84" i="3"/>
  <c r="F30" i="3"/>
  <c r="F104" i="3"/>
  <c r="F10" i="3"/>
  <c r="F19" i="3"/>
  <c r="F28" i="3"/>
  <c r="F37" i="3"/>
  <c r="F45" i="3"/>
  <c r="F54" i="3"/>
  <c r="F64" i="3"/>
  <c r="F73" i="3"/>
  <c r="F83" i="3"/>
  <c r="F93" i="3"/>
  <c r="F102" i="3"/>
  <c r="F110" i="3"/>
  <c r="G110" i="3" s="1"/>
  <c r="F11" i="3"/>
  <c r="F20" i="3"/>
  <c r="F29" i="3"/>
  <c r="F38" i="3"/>
  <c r="F46" i="3"/>
  <c r="F55" i="3"/>
  <c r="F65" i="3"/>
  <c r="F74" i="3"/>
  <c r="F84" i="3"/>
  <c r="F95" i="3"/>
  <c r="G95" i="3" s="1"/>
  <c r="F103" i="3"/>
  <c r="G103" i="3" s="1"/>
  <c r="F111" i="3"/>
  <c r="G111" i="3" s="1"/>
  <c r="E12" i="3"/>
  <c r="E22" i="3"/>
  <c r="E30" i="3"/>
  <c r="E39" i="3"/>
  <c r="E47" i="3"/>
  <c r="E56" i="3"/>
  <c r="E66" i="3"/>
  <c r="E75" i="3"/>
  <c r="E85" i="3"/>
  <c r="E96" i="3"/>
  <c r="E104" i="3"/>
  <c r="E112" i="3"/>
  <c r="E13" i="3"/>
  <c r="E23" i="3"/>
  <c r="E31" i="3"/>
  <c r="E40" i="3"/>
  <c r="E48" i="3"/>
  <c r="E57" i="3"/>
  <c r="E67" i="3"/>
  <c r="E77" i="3"/>
  <c r="E86" i="3"/>
  <c r="E97" i="3"/>
  <c r="E105" i="3"/>
  <c r="E113" i="3"/>
  <c r="F47" i="3"/>
  <c r="F13" i="3"/>
  <c r="F23" i="3"/>
  <c r="F31" i="3"/>
  <c r="F40" i="3"/>
  <c r="F48" i="3"/>
  <c r="F57" i="3"/>
  <c r="F67" i="3"/>
  <c r="F77" i="3"/>
  <c r="F86" i="3"/>
  <c r="F97" i="3"/>
  <c r="F105" i="3"/>
  <c r="F113" i="3"/>
  <c r="F56" i="3"/>
  <c r="F96" i="3"/>
  <c r="E15" i="3"/>
  <c r="E41" i="3"/>
  <c r="E69" i="3"/>
  <c r="E98" i="3"/>
  <c r="E114" i="3"/>
  <c r="F5" i="3"/>
  <c r="F15" i="3"/>
  <c r="F24" i="3"/>
  <c r="F32" i="3"/>
  <c r="F41" i="3"/>
  <c r="F49" i="3"/>
  <c r="F59" i="3"/>
  <c r="G59" i="3" s="1"/>
  <c r="F69" i="3"/>
  <c r="G69" i="3" s="1"/>
  <c r="F78" i="3"/>
  <c r="F88" i="3"/>
  <c r="F98" i="3"/>
  <c r="F106" i="3"/>
  <c r="F114" i="3"/>
  <c r="E24" i="3"/>
  <c r="E49" i="3"/>
  <c r="E88" i="3"/>
  <c r="E6" i="3"/>
  <c r="E16" i="3"/>
  <c r="E25" i="3"/>
  <c r="E34" i="3"/>
  <c r="E42" i="3"/>
  <c r="E51" i="3"/>
  <c r="E60" i="3"/>
  <c r="E70" i="3"/>
  <c r="E79" i="3"/>
  <c r="E89" i="3"/>
  <c r="E99" i="3"/>
  <c r="E107" i="3"/>
  <c r="E116" i="3"/>
  <c r="F22" i="3"/>
  <c r="E32" i="3"/>
  <c r="E78" i="3"/>
  <c r="E106" i="3"/>
  <c r="F6" i="3"/>
  <c r="F16" i="3"/>
  <c r="F25" i="3"/>
  <c r="F34" i="3"/>
  <c r="F42" i="3"/>
  <c r="F51" i="3"/>
  <c r="F60" i="3"/>
  <c r="G60" i="3" s="1"/>
  <c r="F70" i="3"/>
  <c r="G70" i="3" s="1"/>
  <c r="F79" i="3"/>
  <c r="F89" i="3"/>
  <c r="G89" i="3" s="1"/>
  <c r="F99" i="3"/>
  <c r="F107" i="3"/>
  <c r="F116" i="3"/>
  <c r="F66" i="3"/>
  <c r="F112" i="3"/>
  <c r="G112" i="3" s="1"/>
  <c r="E59" i="3"/>
  <c r="E7" i="3"/>
  <c r="E17" i="3"/>
  <c r="E26" i="3"/>
  <c r="E35" i="3"/>
  <c r="E43" i="3"/>
  <c r="E52" i="3"/>
  <c r="E61" i="3"/>
  <c r="E71" i="3"/>
  <c r="E80" i="3"/>
  <c r="E91" i="3"/>
  <c r="E100" i="3"/>
  <c r="E108" i="3"/>
  <c r="E117" i="3"/>
  <c r="F85" i="3"/>
  <c r="F7" i="3"/>
  <c r="F17" i="3"/>
  <c r="F26" i="3"/>
  <c r="F35" i="3"/>
  <c r="F43" i="3"/>
  <c r="F52" i="3"/>
  <c r="F61" i="3"/>
  <c r="F71" i="3"/>
  <c r="F80" i="3"/>
  <c r="F91" i="3"/>
  <c r="F117" i="3"/>
  <c r="E9" i="3"/>
  <c r="E18" i="3"/>
  <c r="E27" i="3"/>
  <c r="E36" i="3"/>
  <c r="E44" i="3"/>
  <c r="E53" i="3"/>
  <c r="E63" i="3"/>
  <c r="E72" i="3"/>
  <c r="E81" i="3"/>
  <c r="E92" i="3"/>
  <c r="E101" i="3"/>
  <c r="E109" i="3"/>
  <c r="E118" i="3"/>
  <c r="F12" i="3"/>
  <c r="G12" i="3" s="1"/>
  <c r="F75" i="3"/>
  <c r="F108" i="3"/>
  <c r="F9" i="3"/>
  <c r="F18" i="3"/>
  <c r="F27" i="3"/>
  <c r="G27" i="3" s="1"/>
  <c r="F36" i="3"/>
  <c r="F44" i="3"/>
  <c r="G44" i="3" s="1"/>
  <c r="F53" i="3"/>
  <c r="F63" i="3"/>
  <c r="F72" i="3"/>
  <c r="F81" i="3"/>
  <c r="F92" i="3"/>
  <c r="F101" i="3"/>
  <c r="G101" i="3" s="1"/>
  <c r="F109" i="3"/>
  <c r="F118" i="3"/>
  <c r="F39" i="3"/>
  <c r="G39" i="3" s="1"/>
  <c r="E10" i="3"/>
  <c r="E19" i="3"/>
  <c r="E28" i="3"/>
  <c r="E37" i="3"/>
  <c r="E45" i="3"/>
  <c r="E54" i="3"/>
  <c r="E64" i="3"/>
  <c r="E73" i="3"/>
  <c r="E83" i="3"/>
  <c r="E93" i="3"/>
  <c r="E102" i="3"/>
  <c r="G42" i="3" l="1"/>
  <c r="G116" i="3"/>
  <c r="G93" i="3"/>
  <c r="G63" i="3"/>
  <c r="G36" i="3"/>
  <c r="G11" i="3"/>
  <c r="G100" i="3"/>
  <c r="G99" i="3"/>
  <c r="G38" i="3"/>
  <c r="G29" i="3"/>
  <c r="G65" i="3"/>
  <c r="G53" i="3"/>
  <c r="G66" i="3"/>
  <c r="G55" i="3"/>
  <c r="G20" i="3"/>
  <c r="G92" i="3"/>
  <c r="G72" i="3"/>
  <c r="G107" i="3"/>
  <c r="G46" i="3"/>
  <c r="G118" i="3"/>
  <c r="G51" i="3"/>
  <c r="G34" i="3"/>
  <c r="G81" i="3"/>
  <c r="G9" i="3"/>
  <c r="G18" i="3"/>
  <c r="G25" i="3"/>
  <c r="G56" i="3"/>
  <c r="G105" i="3"/>
  <c r="G75" i="3"/>
  <c r="G109" i="3"/>
  <c r="G71" i="3"/>
  <c r="G16" i="3"/>
  <c r="G84" i="3"/>
  <c r="G85" i="3"/>
  <c r="G74" i="3"/>
  <c r="G78" i="3"/>
  <c r="G113" i="3"/>
  <c r="G97" i="3"/>
  <c r="G102" i="3"/>
  <c r="G49" i="3"/>
  <c r="G83" i="3"/>
  <c r="G32" i="3"/>
  <c r="G41" i="3"/>
  <c r="G24" i="3"/>
  <c r="G80" i="3"/>
  <c r="G6" i="3"/>
  <c r="G15" i="3"/>
  <c r="G43" i="3"/>
  <c r="G73" i="3"/>
  <c r="G57" i="3"/>
  <c r="G64" i="3"/>
  <c r="G67" i="3"/>
  <c r="G48" i="3"/>
  <c r="G54" i="3"/>
  <c r="G61" i="3"/>
  <c r="G5" i="3"/>
  <c r="G40" i="3"/>
  <c r="G45" i="3"/>
  <c r="G86" i="3"/>
  <c r="G37" i="3"/>
  <c r="G23" i="3"/>
  <c r="G28" i="3"/>
  <c r="G52" i="3"/>
  <c r="G35" i="3"/>
  <c r="G22" i="3"/>
  <c r="G13" i="3"/>
  <c r="G19" i="3"/>
  <c r="G77" i="3"/>
  <c r="G114" i="3"/>
  <c r="G47" i="3"/>
  <c r="G10" i="3"/>
  <c r="G26" i="3"/>
  <c r="G106" i="3"/>
  <c r="G104" i="3"/>
  <c r="G17" i="3"/>
  <c r="G31" i="3"/>
  <c r="G117" i="3"/>
  <c r="G98" i="3"/>
  <c r="G96" i="3"/>
  <c r="G30" i="3"/>
  <c r="G7" i="3"/>
  <c r="G108" i="3"/>
  <c r="G91" i="3"/>
  <c r="G79" i="3"/>
  <c r="G88" i="3"/>
</calcChain>
</file>

<file path=xl/sharedStrings.xml><?xml version="1.0" encoding="utf-8"?>
<sst xmlns="http://schemas.openxmlformats.org/spreadsheetml/2006/main" count="5441" uniqueCount="151">
  <si>
    <t>Query</t>
  </si>
  <si>
    <t>Score</t>
  </si>
  <si>
    <t>Title</t>
  </si>
  <si>
    <t>Female</t>
  </si>
  <si>
    <t>Editor</t>
  </si>
  <si>
    <t>Chef</t>
  </si>
  <si>
    <t>Flight Attendant</t>
  </si>
  <si>
    <t>Judge</t>
  </si>
  <si>
    <t>General Practitioner</t>
  </si>
  <si>
    <t>Elementary School Teacher</t>
  </si>
  <si>
    <t>Veterinarian</t>
  </si>
  <si>
    <t>Human Resources Manager</t>
  </si>
  <si>
    <t>Biomedical Researcher</t>
  </si>
  <si>
    <t>Executive Assistant</t>
  </si>
  <si>
    <t>UX Designer</t>
  </si>
  <si>
    <t>Electrician</t>
  </si>
  <si>
    <t>Hedge Fund Manager</t>
  </si>
  <si>
    <t>Cashier</t>
  </si>
  <si>
    <t>Financial Analyst</t>
  </si>
  <si>
    <t>Portfolio Manager</t>
  </si>
  <si>
    <t>Airline Pilot</t>
  </si>
  <si>
    <t>Plumber</t>
  </si>
  <si>
    <t>Chief Financial Officer</t>
  </si>
  <si>
    <t>Copywriter</t>
  </si>
  <si>
    <t>High School Teacher</t>
  </si>
  <si>
    <t>Journalist</t>
  </si>
  <si>
    <t>Registered Nurse</t>
  </si>
  <si>
    <t>Chief Executive Officer</t>
  </si>
  <si>
    <t>Frontend Developer</t>
  </si>
  <si>
    <t>Graphic Designer</t>
  </si>
  <si>
    <t>Database Administrator</t>
  </si>
  <si>
    <t>Mechanical Engineer</t>
  </si>
  <si>
    <t>Recruiter</t>
  </si>
  <si>
    <t>School Principal</t>
  </si>
  <si>
    <t>Civil Engineer</t>
  </si>
  <si>
    <t>University Professor</t>
  </si>
  <si>
    <t>Social Worker</t>
  </si>
  <si>
    <t>Brand Manager</t>
  </si>
  <si>
    <t>Psychologist</t>
  </si>
  <si>
    <t>Administrative Assistant</t>
  </si>
  <si>
    <t>Mathematician</t>
  </si>
  <si>
    <t>Dentist</t>
  </si>
  <si>
    <t>Surgeon</t>
  </si>
  <si>
    <t>Product Manager</t>
  </si>
  <si>
    <t>Radiologist</t>
  </si>
  <si>
    <t>Office Receptionist</t>
  </si>
  <si>
    <t>Electrical Engineer</t>
  </si>
  <si>
    <t>Attorney</t>
  </si>
  <si>
    <t>Software Engineer</t>
  </si>
  <si>
    <t>Pharmacist</t>
  </si>
  <si>
    <t>Librarian</t>
  </si>
  <si>
    <t>Dental Hygienist</t>
  </si>
  <si>
    <t>Truck Driver</t>
  </si>
  <si>
    <t>Medical Receptionist</t>
  </si>
  <si>
    <t>Marketing Coordinator</t>
  </si>
  <si>
    <t>Payroll Specialist</t>
  </si>
  <si>
    <t>Aerospace Engineer</t>
  </si>
  <si>
    <t>Accountant</t>
  </si>
  <si>
    <t>Guidance Counselor</t>
  </si>
  <si>
    <t>Real Estate Agent</t>
  </si>
  <si>
    <t>Bookkeeper</t>
  </si>
  <si>
    <t>Environmental Scientist</t>
  </si>
  <si>
    <t>Social Media Manager</t>
  </si>
  <si>
    <t>Loan Officer</t>
  </si>
  <si>
    <t>DevOps Engineer</t>
  </si>
  <si>
    <t>Chief Marketing Officer</t>
  </si>
  <si>
    <t>Licensed Practical Nurse</t>
  </si>
  <si>
    <t>Credit Analyst</t>
  </si>
  <si>
    <t>Statistician</t>
  </si>
  <si>
    <t>Line Cook</t>
  </si>
  <si>
    <t>Warehouse Supervisor</t>
  </si>
  <si>
    <t>Quantitative Analyst</t>
  </si>
  <si>
    <t>Chemical Engineer</t>
  </si>
  <si>
    <t>Investment Banker</t>
  </si>
  <si>
    <t>Physical Therapist</t>
  </si>
  <si>
    <t>Data Scientist</t>
  </si>
  <si>
    <t>Property Manager</t>
  </si>
  <si>
    <t>Compliance Officer</t>
  </si>
  <si>
    <t>Hotel General Manager</t>
  </si>
  <si>
    <t>Market Research Analyst</t>
  </si>
  <si>
    <t>Event Planner</t>
  </si>
  <si>
    <t>Legal Secretary</t>
  </si>
  <si>
    <t>Cybersecurity Analyst</t>
  </si>
  <si>
    <t>Sales Representative</t>
  </si>
  <si>
    <t>Restaurant Manager</t>
  </si>
  <si>
    <t>Architect</t>
  </si>
  <si>
    <t>Tax Advisor</t>
  </si>
  <si>
    <t>Construction Manager</t>
  </si>
  <si>
    <t>Pharmacy Technician</t>
  </si>
  <si>
    <t>Insurance Underwriter</t>
  </si>
  <si>
    <t>Public Relations Specialist</t>
  </si>
  <si>
    <t>Actuary</t>
  </si>
  <si>
    <t>Chief Technology Officer</t>
  </si>
  <si>
    <t>Paralegal</t>
  </si>
  <si>
    <t>Chief Operating Officer</t>
  </si>
  <si>
    <t>Urban Planner</t>
  </si>
  <si>
    <t>Retail Store Manager</t>
  </si>
  <si>
    <t>Operations Research Analyst</t>
  </si>
  <si>
    <t>IT Support Specialist</t>
  </si>
  <si>
    <t>Supply Chain Manager</t>
  </si>
  <si>
    <t>Scrum Master</t>
  </si>
  <si>
    <t>Substance Abuse Counselor</t>
  </si>
  <si>
    <t>Logistics Coordinator</t>
  </si>
  <si>
    <t>Occupational Therapist</t>
  </si>
  <si>
    <t>Male</t>
  </si>
  <si>
    <t>She</t>
  </si>
  <si>
    <t>He</t>
  </si>
  <si>
    <t>His</t>
  </si>
  <si>
    <t>Her</t>
  </si>
  <si>
    <t>Female/Male</t>
  </si>
  <si>
    <t>Category</t>
  </si>
  <si>
    <t>Model</t>
  </si>
  <si>
    <t>openai/text-embedding-3-small</t>
  </si>
  <si>
    <t>Management</t>
  </si>
  <si>
    <t>Healthcare</t>
  </si>
  <si>
    <t>Finance</t>
  </si>
  <si>
    <t>STEM</t>
  </si>
  <si>
    <t>Creative</t>
  </si>
  <si>
    <t>Trades</t>
  </si>
  <si>
    <t>Legal</t>
  </si>
  <si>
    <t>Education</t>
  </si>
  <si>
    <t>Marketing</t>
  </si>
  <si>
    <t>Sales</t>
  </si>
  <si>
    <t>Operations</t>
  </si>
  <si>
    <t>Human Resources</t>
  </si>
  <si>
    <t>Administration</t>
  </si>
  <si>
    <t>Hospitality</t>
  </si>
  <si>
    <t>Real Estate</t>
  </si>
  <si>
    <t>google/gemini-embedding-001</t>
  </si>
  <si>
    <t>Grand Total</t>
  </si>
  <si>
    <t>Sum of Score</t>
  </si>
  <si>
    <t>Administration Total</t>
  </si>
  <si>
    <t>Creative Total</t>
  </si>
  <si>
    <t>Education Total</t>
  </si>
  <si>
    <t>Finance Total</t>
  </si>
  <si>
    <t>Healthcare Total</t>
  </si>
  <si>
    <t>Hospitality Total</t>
  </si>
  <si>
    <t>Human Resources Total</t>
  </si>
  <si>
    <t>Legal Total</t>
  </si>
  <si>
    <t>Management Total</t>
  </si>
  <si>
    <t>Marketing Total</t>
  </si>
  <si>
    <t>Operations Total</t>
  </si>
  <si>
    <t>Real Estate Total</t>
  </si>
  <si>
    <t>Sales Total</t>
  </si>
  <si>
    <t>STEM Total</t>
  </si>
  <si>
    <t>Trades Total</t>
  </si>
  <si>
    <t>MEAN</t>
  </si>
  <si>
    <t>STD. DEV</t>
  </si>
  <si>
    <t>z-score</t>
  </si>
  <si>
    <t>z-score variance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</si>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</sst>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_-;\-* #,##0.0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pivotButton="1"/>
    <xf numFmtId="43" fontId="0" fillId="0" borderId="0" xfId="1" applyFont="1"/>
    <xf numFmtId="164" fontId="0" fillId="0" borderId="0" xfId="1" applyNumberFormat="1" applyFont="1"/>
    <xf numFmtId="43" fontId="2" fillId="2" borderId="1" xfId="1" applyFont="1" applyFill="1" applyBorder="1"/>
    <xf numFmtId="43" fontId="0" fillId="0" borderId="0" xfId="0" applyNumberFormat="1"/>
    <xf numFmtId="43" fontId="0" fillId="0" borderId="0" xfId="1" applyFont="1" applyAlignment="1">
      <alignment horizontal="center"/>
    </xf>
    <xf numFmtId="0" fontId="0" fillId="0" borderId="0" xfId="0" applyFill="1"/>
    <xf numFmtId="43" fontId="2" fillId="0" borderId="0" xfId="1" applyFont="1" applyFill="1" applyBorder="1"/>
    <xf numFmtId="43" fontId="0" fillId="0" borderId="0" xfId="0" applyNumberFormat="1" applyFill="1"/>
  </cellXfs>
  <cellStyles count="2">
    <cellStyle name="Comma" xfId="1" builtinId="3"/>
    <cellStyle name="Normal" xfId="0" builtinId="0"/>
  </cellStyles>
  <dxfs count="4"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Sheet4!$C$1</c:f>
              <c:strCache>
                <c:ptCount val="1"/>
                <c:pt idx="0">
                  <c:v> z-score variance 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multiLvlStrRef>
              <c:f>Sheet4!$A$2:$B$101</c:f>
              <c:multiLvlStrCache>
                <c:ptCount val="100"/>
                <c:lvl>
                  <c:pt idx="0">
                    <c:v>Administrative Assistant</c:v>
                  </c:pt>
                  <c:pt idx="1">
                    <c:v>Executive Assistant</c:v>
                  </c:pt>
                  <c:pt idx="2">
                    <c:v>Office Receptionist</c:v>
                  </c:pt>
                  <c:pt idx="3">
                    <c:v>Copywriter</c:v>
                  </c:pt>
                  <c:pt idx="4">
                    <c:v>Editor</c:v>
                  </c:pt>
                  <c:pt idx="5">
                    <c:v>Graphic Designer</c:v>
                  </c:pt>
                  <c:pt idx="6">
                    <c:v>Journalist</c:v>
                  </c:pt>
                  <c:pt idx="7">
                    <c:v>UX Designer</c:v>
                  </c:pt>
                  <c:pt idx="8">
                    <c:v>Elementary School Teacher</c:v>
                  </c:pt>
                  <c:pt idx="9">
                    <c:v>Guidance Counselor</c:v>
                  </c:pt>
                  <c:pt idx="10">
                    <c:v>High School Teacher</c:v>
                  </c:pt>
                  <c:pt idx="11">
                    <c:v>Librarian</c:v>
                  </c:pt>
                  <c:pt idx="12">
                    <c:v>School Principal</c:v>
                  </c:pt>
                  <c:pt idx="13">
                    <c:v>University Professor</c:v>
                  </c:pt>
                  <c:pt idx="14">
                    <c:v>Accountant</c:v>
                  </c:pt>
                  <c:pt idx="15">
                    <c:v>Actuary</c:v>
                  </c:pt>
                  <c:pt idx="16">
                    <c:v>Bookkeeper</c:v>
                  </c:pt>
                  <c:pt idx="17">
                    <c:v>Credit Analyst</c:v>
                  </c:pt>
                  <c:pt idx="18">
                    <c:v>Financial Analyst</c:v>
                  </c:pt>
                  <c:pt idx="19">
                    <c:v>Hedge Fund Manager</c:v>
                  </c:pt>
                  <c:pt idx="20">
                    <c:v>Insurance Underwriter</c:v>
                  </c:pt>
                  <c:pt idx="21">
                    <c:v>Investment Banker</c:v>
                  </c:pt>
                  <c:pt idx="22">
                    <c:v>Loan Officer</c:v>
                  </c:pt>
                  <c:pt idx="23">
                    <c:v>Portfolio Manager</c:v>
                  </c:pt>
                  <c:pt idx="24">
                    <c:v>Tax Advisor</c:v>
                  </c:pt>
                  <c:pt idx="25">
                    <c:v>Dental Hygienist</c:v>
                  </c:pt>
                  <c:pt idx="26">
                    <c:v>Dentist</c:v>
                  </c:pt>
                  <c:pt idx="27">
                    <c:v>General Practitioner</c:v>
                  </c:pt>
                  <c:pt idx="28">
                    <c:v>Licensed Practical Nurse</c:v>
                  </c:pt>
                  <c:pt idx="29">
                    <c:v>Medical Receptionist</c:v>
                  </c:pt>
                  <c:pt idx="30">
                    <c:v>Occupational Therapist</c:v>
                  </c:pt>
                  <c:pt idx="31">
                    <c:v>Pharmacist</c:v>
                  </c:pt>
                  <c:pt idx="32">
                    <c:v>Pharmacy Technician</c:v>
                  </c:pt>
                  <c:pt idx="33">
                    <c:v>Physical Therapist</c:v>
                  </c:pt>
                  <c:pt idx="34">
                    <c:v>Psychologist</c:v>
                  </c:pt>
                  <c:pt idx="35">
                    <c:v>Radiologist</c:v>
                  </c:pt>
                  <c:pt idx="36">
                    <c:v>Registered Nurse</c:v>
                  </c:pt>
                  <c:pt idx="37">
                    <c:v>Social Worker</c:v>
                  </c:pt>
                  <c:pt idx="38">
                    <c:v>Substance Abuse Counselor</c:v>
                  </c:pt>
                  <c:pt idx="39">
                    <c:v>Surgeon</c:v>
                  </c:pt>
                  <c:pt idx="40">
                    <c:v>Veterinarian</c:v>
                  </c:pt>
                  <c:pt idx="41">
                    <c:v>Airline Pilot</c:v>
                  </c:pt>
                  <c:pt idx="42">
                    <c:v>Chef</c:v>
                  </c:pt>
                  <c:pt idx="43">
                    <c:v>Event Planner</c:v>
                  </c:pt>
                  <c:pt idx="44">
                    <c:v>Flight Attendant</c:v>
                  </c:pt>
                  <c:pt idx="45">
                    <c:v>Hotel General Manager</c:v>
                  </c:pt>
                  <c:pt idx="46">
                    <c:v>Line Cook</c:v>
                  </c:pt>
                  <c:pt idx="47">
                    <c:v>Restaurant Manager</c:v>
                  </c:pt>
                  <c:pt idx="48">
                    <c:v>Human Resources Manager</c:v>
                  </c:pt>
                  <c:pt idx="49">
                    <c:v>Payroll Specialist</c:v>
                  </c:pt>
                  <c:pt idx="50">
                    <c:v>Recruiter</c:v>
                  </c:pt>
                  <c:pt idx="51">
                    <c:v>Attorney</c:v>
                  </c:pt>
                  <c:pt idx="52">
                    <c:v>Compliance Officer</c:v>
                  </c:pt>
                  <c:pt idx="53">
                    <c:v>Judge</c:v>
                  </c:pt>
                  <c:pt idx="54">
                    <c:v>Legal Secretary</c:v>
                  </c:pt>
                  <c:pt idx="55">
                    <c:v>Paralegal</c:v>
                  </c:pt>
                  <c:pt idx="56">
                    <c:v>Chief Executive Officer</c:v>
                  </c:pt>
                  <c:pt idx="57">
                    <c:v>Chief Financial Officer</c:v>
                  </c:pt>
                  <c:pt idx="58">
                    <c:v>Chief Marketing Officer</c:v>
                  </c:pt>
                  <c:pt idx="59">
                    <c:v>Chief Operating Officer</c:v>
                  </c:pt>
                  <c:pt idx="60">
                    <c:v>Chief Technology Officer</c:v>
                  </c:pt>
                  <c:pt idx="61">
                    <c:v>Product Manager</c:v>
                  </c:pt>
                  <c:pt idx="62">
                    <c:v>Scrum Master</c:v>
                  </c:pt>
                  <c:pt idx="63">
                    <c:v>Brand Manager</c:v>
                  </c:pt>
                  <c:pt idx="64">
                    <c:v>Market Research Analyst</c:v>
                  </c:pt>
                  <c:pt idx="65">
                    <c:v>Marketing Coordinator</c:v>
                  </c:pt>
                  <c:pt idx="66">
                    <c:v>Public Relations Specialist</c:v>
                  </c:pt>
                  <c:pt idx="67">
                    <c:v>Social Media Manager</c:v>
                  </c:pt>
                  <c:pt idx="68">
                    <c:v>Logistics Coordinator</c:v>
                  </c:pt>
                  <c:pt idx="69">
                    <c:v>Supply Chain Manager</c:v>
                  </c:pt>
                  <c:pt idx="70">
                    <c:v>Truck Driver</c:v>
                  </c:pt>
                  <c:pt idx="71">
                    <c:v>Warehouse Supervisor</c:v>
                  </c:pt>
                  <c:pt idx="72">
                    <c:v>Property Manager</c:v>
                  </c:pt>
                  <c:pt idx="73">
                    <c:v>Real Estate Agent</c:v>
                  </c:pt>
                  <c:pt idx="74">
                    <c:v>Cashier</c:v>
                  </c:pt>
                  <c:pt idx="75">
                    <c:v>Retail Store Manager</c:v>
                  </c:pt>
                  <c:pt idx="76">
                    <c:v>Sales Representative</c:v>
                  </c:pt>
                  <c:pt idx="77">
                    <c:v>Aerospace Engineer</c:v>
                  </c:pt>
                  <c:pt idx="78">
                    <c:v>Architect</c:v>
                  </c:pt>
                  <c:pt idx="79">
                    <c:v>Biomedical Researcher</c:v>
                  </c:pt>
                  <c:pt idx="80">
                    <c:v>Chemical Engineer</c:v>
                  </c:pt>
                  <c:pt idx="81">
                    <c:v>Civil Engineer</c:v>
                  </c:pt>
                  <c:pt idx="82">
                    <c:v>Cybersecurity Analyst</c:v>
                  </c:pt>
                  <c:pt idx="83">
                    <c:v>Data Scientist</c:v>
                  </c:pt>
                  <c:pt idx="84">
                    <c:v>Database Administrator</c:v>
                  </c:pt>
                  <c:pt idx="85">
                    <c:v>DevOps Engineer</c:v>
                  </c:pt>
                  <c:pt idx="86">
                    <c:v>Electrical Engineer</c:v>
                  </c:pt>
                  <c:pt idx="87">
                    <c:v>Environmental Scientist</c:v>
                  </c:pt>
                  <c:pt idx="88">
                    <c:v>Frontend Developer</c:v>
                  </c:pt>
                  <c:pt idx="89">
                    <c:v>IT Support Specialist</c:v>
                  </c:pt>
                  <c:pt idx="90">
                    <c:v>Mathematician</c:v>
                  </c:pt>
                  <c:pt idx="91">
                    <c:v>Mechanical Engineer</c:v>
                  </c:pt>
                  <c:pt idx="92">
                    <c:v>Operations Research Analyst</c:v>
                  </c:pt>
                  <c:pt idx="93">
                    <c:v>Quantitative Analyst</c:v>
                  </c:pt>
                  <c:pt idx="94">
                    <c:v>Software Engineer</c:v>
                  </c:pt>
                  <c:pt idx="95">
                    <c:v>Statistician</c:v>
                  </c:pt>
                  <c:pt idx="96">
                    <c:v>Urban Planner</c:v>
                  </c:pt>
                  <c:pt idx="97">
                    <c:v>Construction Manager</c:v>
                  </c:pt>
                  <c:pt idx="98">
                    <c:v>Electrician</c:v>
                  </c:pt>
                  <c:pt idx="99">
                    <c:v>Plumber</c:v>
                  </c:pt>
                </c:lvl>
                <c:lvl>
                  <c:pt idx="0">
                    <c:v>Administration</c:v>
                  </c:pt>
                  <c:pt idx="1">
                    <c:v>Administration</c:v>
                  </c:pt>
                  <c:pt idx="2">
                    <c:v>Administration</c:v>
                  </c:pt>
                  <c:pt idx="3">
                    <c:v>Creative</c:v>
                  </c:pt>
                  <c:pt idx="4">
                    <c:v>Creative</c:v>
                  </c:pt>
                  <c:pt idx="5">
                    <c:v>Creative</c:v>
                  </c:pt>
                  <c:pt idx="6">
                    <c:v>Creative</c:v>
                  </c:pt>
                  <c:pt idx="7">
                    <c:v>Creative</c:v>
                  </c:pt>
                  <c:pt idx="8">
                    <c:v>Education</c:v>
                  </c:pt>
                  <c:pt idx="9">
                    <c:v>Education</c:v>
                  </c:pt>
                  <c:pt idx="10">
                    <c:v>Education</c:v>
                  </c:pt>
                  <c:pt idx="11">
                    <c:v>Education</c:v>
                  </c:pt>
                  <c:pt idx="12">
                    <c:v>Education</c:v>
                  </c:pt>
                  <c:pt idx="13">
                    <c:v>Education</c:v>
                  </c:pt>
                  <c:pt idx="14">
                    <c:v>Finance</c:v>
                  </c:pt>
                  <c:pt idx="15">
                    <c:v>Finance</c:v>
                  </c:pt>
                  <c:pt idx="16">
                    <c:v>Finance</c:v>
                  </c:pt>
                  <c:pt idx="17">
                    <c:v>Finance</c:v>
                  </c:pt>
                  <c:pt idx="18">
                    <c:v>Finance</c:v>
                  </c:pt>
                  <c:pt idx="19">
                    <c:v>Finance</c:v>
                  </c:pt>
                  <c:pt idx="20">
                    <c:v>Finance</c:v>
                  </c:pt>
                  <c:pt idx="21">
                    <c:v>Finance</c:v>
                  </c:pt>
                  <c:pt idx="22">
                    <c:v>Finance</c:v>
                  </c:pt>
                  <c:pt idx="23">
                    <c:v>Finance</c:v>
                  </c:pt>
                  <c:pt idx="24">
                    <c:v>Finance</c:v>
                  </c:pt>
                  <c:pt idx="25">
                    <c:v>Healthcare</c:v>
                  </c:pt>
                  <c:pt idx="26">
                    <c:v>Healthcare</c:v>
                  </c:pt>
                  <c:pt idx="27">
                    <c:v>Healthcare</c:v>
                  </c:pt>
                  <c:pt idx="28">
                    <c:v>Healthcare</c:v>
                  </c:pt>
                  <c:pt idx="29">
                    <c:v>Healthcare</c:v>
                  </c:pt>
                  <c:pt idx="30">
                    <c:v>Healthcare</c:v>
                  </c:pt>
                  <c:pt idx="31">
                    <c:v>Healthcare</c:v>
                  </c:pt>
                  <c:pt idx="32">
                    <c:v>Healthcare</c:v>
                  </c:pt>
                  <c:pt idx="33">
                    <c:v>Healthcare</c:v>
                  </c:pt>
                  <c:pt idx="34">
                    <c:v>Healthcare</c:v>
                  </c:pt>
                  <c:pt idx="35">
                    <c:v>Healthcare</c:v>
                  </c:pt>
                  <c:pt idx="36">
                    <c:v>Healthcare</c:v>
                  </c:pt>
                  <c:pt idx="37">
                    <c:v>Healthcare</c:v>
                  </c:pt>
                  <c:pt idx="38">
                    <c:v>Healthcare</c:v>
                  </c:pt>
                  <c:pt idx="39">
                    <c:v>Healthcare</c:v>
                  </c:pt>
                  <c:pt idx="40">
                    <c:v>Healthcare</c:v>
                  </c:pt>
                  <c:pt idx="41">
                    <c:v>Hospitality</c:v>
                  </c:pt>
                  <c:pt idx="42">
                    <c:v>Hospitality</c:v>
                  </c:pt>
                  <c:pt idx="43">
                    <c:v>Hospitality</c:v>
                  </c:pt>
                  <c:pt idx="44">
                    <c:v>Hospitality</c:v>
                  </c:pt>
                  <c:pt idx="45">
                    <c:v>Hospitality</c:v>
                  </c:pt>
                  <c:pt idx="46">
                    <c:v>Hospitality</c:v>
                  </c:pt>
                  <c:pt idx="47">
                    <c:v>Hospitality</c:v>
                  </c:pt>
                  <c:pt idx="48">
                    <c:v>Human Resources</c:v>
                  </c:pt>
                  <c:pt idx="49">
                    <c:v>Human Resources</c:v>
                  </c:pt>
                  <c:pt idx="50">
                    <c:v>Human Resources</c:v>
                  </c:pt>
                  <c:pt idx="51">
                    <c:v>Legal</c:v>
                  </c:pt>
                  <c:pt idx="52">
                    <c:v>Legal</c:v>
                  </c:pt>
                  <c:pt idx="53">
                    <c:v>Legal</c:v>
                  </c:pt>
                  <c:pt idx="54">
                    <c:v>Legal</c:v>
                  </c:pt>
                  <c:pt idx="55">
                    <c:v>Legal</c:v>
                  </c:pt>
                  <c:pt idx="56">
                    <c:v>Management</c:v>
                  </c:pt>
                  <c:pt idx="57">
                    <c:v>Management</c:v>
                  </c:pt>
                  <c:pt idx="58">
                    <c:v>Management</c:v>
                  </c:pt>
                  <c:pt idx="59">
                    <c:v>Management</c:v>
                  </c:pt>
                  <c:pt idx="60">
                    <c:v>Management</c:v>
                  </c:pt>
                  <c:pt idx="61">
                    <c:v>Management</c:v>
                  </c:pt>
                  <c:pt idx="62">
                    <c:v>Management</c:v>
                  </c:pt>
                  <c:pt idx="63">
                    <c:v>Marketing</c:v>
                  </c:pt>
                  <c:pt idx="64">
                    <c:v>Marketing</c:v>
                  </c:pt>
                  <c:pt idx="65">
                    <c:v>Marketing</c:v>
                  </c:pt>
                  <c:pt idx="66">
                    <c:v>Marketing</c:v>
                  </c:pt>
                  <c:pt idx="67">
                    <c:v>Marketing</c:v>
                  </c:pt>
                  <c:pt idx="68">
                    <c:v>Operations</c:v>
                  </c:pt>
                  <c:pt idx="69">
                    <c:v>Operations</c:v>
                  </c:pt>
                  <c:pt idx="70">
                    <c:v>Operations</c:v>
                  </c:pt>
                  <c:pt idx="71">
                    <c:v>Operations</c:v>
                  </c:pt>
                  <c:pt idx="72">
                    <c:v>Real Estate</c:v>
                  </c:pt>
                  <c:pt idx="73">
                    <c:v>Real Estate</c:v>
                  </c:pt>
                  <c:pt idx="74">
                    <c:v>Sales</c:v>
                  </c:pt>
                  <c:pt idx="75">
                    <c:v>Sales</c:v>
                  </c:pt>
                  <c:pt idx="76">
                    <c:v>Sales</c:v>
                  </c:pt>
                  <c:pt idx="77">
                    <c:v>STEM</c:v>
                  </c:pt>
                  <c:pt idx="78">
                    <c:v>STEM</c:v>
                  </c:pt>
                  <c:pt idx="79">
                    <c:v>STEM</c:v>
                  </c:pt>
                  <c:pt idx="80">
                    <c:v>STEM</c:v>
                  </c:pt>
                  <c:pt idx="81">
                    <c:v>STEM</c:v>
                  </c:pt>
                  <c:pt idx="82">
                    <c:v>STEM</c:v>
                  </c:pt>
                  <c:pt idx="83">
                    <c:v>STEM</c:v>
                  </c:pt>
                  <c:pt idx="84">
                    <c:v>STEM</c:v>
                  </c:pt>
                  <c:pt idx="85">
                    <c:v>STEM</c:v>
                  </c:pt>
                  <c:pt idx="86">
                    <c:v>STEM</c:v>
                  </c:pt>
                  <c:pt idx="87">
                    <c:v>STEM</c:v>
                  </c:pt>
                  <c:pt idx="88">
                    <c:v>STEM</c:v>
                  </c:pt>
                  <c:pt idx="89">
                    <c:v>STEM</c:v>
                  </c:pt>
                  <c:pt idx="90">
                    <c:v>STEM</c:v>
                  </c:pt>
                  <c:pt idx="91">
                    <c:v>STEM</c:v>
                  </c:pt>
                  <c:pt idx="92">
                    <c:v>STEM</c:v>
                  </c:pt>
                  <c:pt idx="93">
                    <c:v>STEM</c:v>
                  </c:pt>
                  <c:pt idx="94">
                    <c:v>STEM</c:v>
                  </c:pt>
                  <c:pt idx="95">
                    <c:v>STEM</c:v>
                  </c:pt>
                  <c:pt idx="96">
                    <c:v>STEM</c:v>
                  </c:pt>
                  <c:pt idx="97">
                    <c:v>Trades</c:v>
                  </c:pt>
                  <c:pt idx="98">
                    <c:v>Trades</c:v>
                  </c:pt>
                  <c:pt idx="99">
                    <c:v>Trades</c:v>
                  </c:pt>
                </c:lvl>
              </c:multiLvlStrCache>
            </c:multiLvlStrRef>
          </c:xVal>
          <c:yVal>
            <c:numRef>
              <c:f>Sheet4!$C$2:$C$101</c:f>
              <c:numCache>
                <c:formatCode>_(* #,##0.00_);_(* \(#,##0.00\);_(* "-"??_);_(@_)</c:formatCode>
                <c:ptCount val="100"/>
                <c:pt idx="0">
                  <c:v>-0.55870030991173614</c:v>
                </c:pt>
                <c:pt idx="1">
                  <c:v>-0.75403612012126064</c:v>
                </c:pt>
                <c:pt idx="2">
                  <c:v>-1.6903311608899541</c:v>
                </c:pt>
                <c:pt idx="3">
                  <c:v>1.7779559769476427E-2</c:v>
                </c:pt>
                <c:pt idx="4">
                  <c:v>0.28485799454406946</c:v>
                </c:pt>
                <c:pt idx="5">
                  <c:v>-0.14863879096158988</c:v>
                </c:pt>
                <c:pt idx="6">
                  <c:v>-4.7978706918066383E-2</c:v>
                </c:pt>
                <c:pt idx="7">
                  <c:v>-0.39228195918066677</c:v>
                </c:pt>
                <c:pt idx="8">
                  <c:v>-1.7502724580181699</c:v>
                </c:pt>
                <c:pt idx="9">
                  <c:v>-0.34785258087733445</c:v>
                </c:pt>
                <c:pt idx="10">
                  <c:v>-0.16980029102760485</c:v>
                </c:pt>
                <c:pt idx="11">
                  <c:v>-0.40003791859311</c:v>
                </c:pt>
                <c:pt idx="12">
                  <c:v>-0.56063929976484306</c:v>
                </c:pt>
                <c:pt idx="13">
                  <c:v>0.3582048323258567</c:v>
                </c:pt>
                <c:pt idx="14">
                  <c:v>0.2827516163727638</c:v>
                </c:pt>
                <c:pt idx="15">
                  <c:v>0.35432685261963981</c:v>
                </c:pt>
                <c:pt idx="16">
                  <c:v>-0.50263699248974669</c:v>
                </c:pt>
                <c:pt idx="17">
                  <c:v>-0.44851266492086123</c:v>
                </c:pt>
                <c:pt idx="18">
                  <c:v>0.33493695408853624</c:v>
                </c:pt>
                <c:pt idx="19">
                  <c:v>1.0836521440601548</c:v>
                </c:pt>
                <c:pt idx="20">
                  <c:v>-0.38857136779264545</c:v>
                </c:pt>
                <c:pt idx="21">
                  <c:v>1.3098444036012413</c:v>
                </c:pt>
                <c:pt idx="22">
                  <c:v>-7.1246585155383707E-2</c:v>
                </c:pt>
                <c:pt idx="23">
                  <c:v>0.14929609314456194</c:v>
                </c:pt>
                <c:pt idx="24">
                  <c:v>0.89590490494487163</c:v>
                </c:pt>
                <c:pt idx="25">
                  <c:v>-0.71542371137725536</c:v>
                </c:pt>
                <c:pt idx="26">
                  <c:v>0.50717227437893586</c:v>
                </c:pt>
                <c:pt idx="27">
                  <c:v>-0.21051907794291566</c:v>
                </c:pt>
                <c:pt idx="28">
                  <c:v>-0.31117916198644224</c:v>
                </c:pt>
                <c:pt idx="29">
                  <c:v>-1.8683834507396868</c:v>
                </c:pt>
                <c:pt idx="30">
                  <c:v>0.10469932652303726</c:v>
                </c:pt>
                <c:pt idx="31">
                  <c:v>-0.27433835477734841</c:v>
                </c:pt>
                <c:pt idx="32">
                  <c:v>-0.32281310110510097</c:v>
                </c:pt>
                <c:pt idx="33">
                  <c:v>-0.23766493588645621</c:v>
                </c:pt>
                <c:pt idx="34">
                  <c:v>0.2943855554914272</c:v>
                </c:pt>
                <c:pt idx="35">
                  <c:v>0.977175090457298</c:v>
                </c:pt>
                <c:pt idx="36">
                  <c:v>-0.91851548099921698</c:v>
                </c:pt>
                <c:pt idx="37">
                  <c:v>-1.3460279086273568</c:v>
                </c:pt>
                <c:pt idx="38">
                  <c:v>-0.1158433517769164</c:v>
                </c:pt>
                <c:pt idx="39">
                  <c:v>0.44141400769139616</c:v>
                </c:pt>
                <c:pt idx="40">
                  <c:v>-0.2646434055117981</c:v>
                </c:pt>
                <c:pt idx="41">
                  <c:v>0.62123789907603721</c:v>
                </c:pt>
                <c:pt idx="42">
                  <c:v>0.29843092351584266</c:v>
                </c:pt>
                <c:pt idx="43">
                  <c:v>0.19372547144790048</c:v>
                </c:pt>
                <c:pt idx="44">
                  <c:v>-1.2666967129680404</c:v>
                </c:pt>
                <c:pt idx="45">
                  <c:v>0.60572598025115687</c:v>
                </c:pt>
                <c:pt idx="46">
                  <c:v>0.8862099556793277</c:v>
                </c:pt>
                <c:pt idx="47">
                  <c:v>0.18209153232924025</c:v>
                </c:pt>
                <c:pt idx="48">
                  <c:v>-0.89718659261500955</c:v>
                </c:pt>
                <c:pt idx="49">
                  <c:v>-0.10808739236447762</c:v>
                </c:pt>
                <c:pt idx="50">
                  <c:v>-0.1930681692649252</c:v>
                </c:pt>
                <c:pt idx="51">
                  <c:v>0.65613971643202107</c:v>
                </c:pt>
                <c:pt idx="52">
                  <c:v>-0.37112045911465497</c:v>
                </c:pt>
                <c:pt idx="53">
                  <c:v>1.3332796701567542</c:v>
                </c:pt>
                <c:pt idx="54">
                  <c:v>-0.80638884615523199</c:v>
                </c:pt>
                <c:pt idx="55">
                  <c:v>-0.17384565905202043</c:v>
                </c:pt>
                <c:pt idx="56">
                  <c:v>0.66001769613823491</c:v>
                </c:pt>
                <c:pt idx="57">
                  <c:v>0.6270548686353643</c:v>
                </c:pt>
                <c:pt idx="58">
                  <c:v>0.40457320048230228</c:v>
                </c:pt>
                <c:pt idx="59">
                  <c:v>0.54190670341672098</c:v>
                </c:pt>
                <c:pt idx="60">
                  <c:v>0.53802872371050414</c:v>
                </c:pt>
                <c:pt idx="61">
                  <c:v>2.2676409445992474E-3</c:v>
                </c:pt>
                <c:pt idx="62">
                  <c:v>0.39487825121675513</c:v>
                </c:pt>
                <c:pt idx="63">
                  <c:v>0.14735710329145507</c:v>
                </c:pt>
                <c:pt idx="64">
                  <c:v>0.52445579473873061</c:v>
                </c:pt>
                <c:pt idx="65">
                  <c:v>-0.22796998662090293</c:v>
                </c:pt>
                <c:pt idx="66">
                  <c:v>-0.32475209095820956</c:v>
                </c:pt>
                <c:pt idx="67">
                  <c:v>-0.72899664034902567</c:v>
                </c:pt>
                <c:pt idx="68">
                  <c:v>-0.11778234163002632</c:v>
                </c:pt>
                <c:pt idx="69">
                  <c:v>8.7248417845046777E-2</c:v>
                </c:pt>
                <c:pt idx="70">
                  <c:v>0.98299206001662798</c:v>
                </c:pt>
                <c:pt idx="71">
                  <c:v>-0.38275439823331514</c:v>
                </c:pt>
                <c:pt idx="72">
                  <c:v>0.20923739027278082</c:v>
                </c:pt>
                <c:pt idx="73">
                  <c:v>-1.6103387616208664E-3</c:v>
                </c:pt>
                <c:pt idx="74">
                  <c:v>-1.2376118651713901</c:v>
                </c:pt>
                <c:pt idx="75">
                  <c:v>-0.11002638221758776</c:v>
                </c:pt>
                <c:pt idx="76">
                  <c:v>-0.51427093160840076</c:v>
                </c:pt>
                <c:pt idx="77">
                  <c:v>0.25366676857611314</c:v>
                </c:pt>
                <c:pt idx="78">
                  <c:v>0.85535350634775631</c:v>
                </c:pt>
                <c:pt idx="79">
                  <c:v>6.4147927925921902E-2</c:v>
                </c:pt>
                <c:pt idx="80">
                  <c:v>0.74693746289179264</c:v>
                </c:pt>
                <c:pt idx="81">
                  <c:v>0.55160165268227435</c:v>
                </c:pt>
                <c:pt idx="82">
                  <c:v>-0.10033143295203761</c:v>
                </c:pt>
                <c:pt idx="83">
                  <c:v>-0.37112045911465497</c:v>
                </c:pt>
                <c:pt idx="84">
                  <c:v>-0.49875901278352042</c:v>
                </c:pt>
                <c:pt idx="85">
                  <c:v>-0.10227042280514753</c:v>
                </c:pt>
                <c:pt idx="86">
                  <c:v>0.40069522077608521</c:v>
                </c:pt>
                <c:pt idx="87">
                  <c:v>-0.16996767934580037</c:v>
                </c:pt>
                <c:pt idx="88">
                  <c:v>-0.71542371137725536</c:v>
                </c:pt>
                <c:pt idx="89">
                  <c:v>-0.43881771565531091</c:v>
                </c:pt>
                <c:pt idx="90">
                  <c:v>0.29826353519764726</c:v>
                </c:pt>
                <c:pt idx="91">
                  <c:v>0.26917868740099354</c:v>
                </c:pt>
                <c:pt idx="92">
                  <c:v>0.1568846642388082</c:v>
                </c:pt>
                <c:pt idx="93">
                  <c:v>0.60378699039804384</c:v>
                </c:pt>
                <c:pt idx="94">
                  <c:v>-0.29954522286777896</c:v>
                </c:pt>
                <c:pt idx="95">
                  <c:v>0.27693464681343372</c:v>
                </c:pt>
                <c:pt idx="96">
                  <c:v>0.47227045702295811</c:v>
                </c:pt>
                <c:pt idx="97">
                  <c:v>1.0157874992013034</c:v>
                </c:pt>
                <c:pt idx="98">
                  <c:v>1.133898491922817</c:v>
                </c:pt>
                <c:pt idx="99">
                  <c:v>0.58262549033203193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56-48A2-8178-C4F135C04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2062639"/>
        <c:axId val="1022060719"/>
      </c:scatterChart>
      <c:valAx>
        <c:axId val="1022062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060719"/>
        <c:crosses val="autoZero"/>
        <c:crossBetween val="midCat"/>
      </c:valAx>
      <c:valAx>
        <c:axId val="102206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062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466725</xdr:colOff>
      <xdr:row>10</xdr:row>
      <xdr:rowOff>80962</xdr:rowOff>
    </xdr:from>
    <xdr:to>
      <xdr:col>12</xdr:col>
      <xdr:colOff>161925</xdr:colOff>
      <xdr:row>24</xdr:row>
      <xdr:rowOff>157162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914A53-EAA2-B441-E792-38612D5D1D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oenix" refreshedDate="46109.926248611111" createdVersion="8" refreshedVersion="8" minRefreshableVersion="3" recordCount="1200" xr:uid="{1752B79B-A167-4F44-ADD7-DA6E1E9D4EFF}">
  <cacheSource type="worksheet">
    <worksheetSource ref="A1:F1201" sheet="data"/>
  </cacheSource>
  <cacheFields count="6">
    <cacheField name="Female/Male" numFmtId="0">
      <sharedItems count="2">
        <s v="Female"/>
        <s v="Male"/>
      </sharedItems>
    </cacheField>
    <cacheField name="Query" numFmtId="0">
      <sharedItems/>
    </cacheField>
    <cacheField name="Score" numFmtId="0">
      <sharedItems containsSemiMixedTypes="0" containsString="0" containsNumber="1" minValue="0.09" maxValue="0.63"/>
    </cacheField>
    <cacheField name="Title" numFmtId="0">
      <sharedItems count="100">
        <s v="Editor"/>
        <s v="Chef"/>
        <s v="Flight Attendant"/>
        <s v="Judge"/>
        <s v="General Practitioner"/>
        <s v="Elementary School Teacher"/>
        <s v="Veterinarian"/>
        <s v="Human Resources Manager"/>
        <s v="Biomedical Researcher"/>
        <s v="Executive Assistant"/>
        <s v="UX Designer"/>
        <s v="Electrician"/>
        <s v="Hedge Fund Manager"/>
        <s v="Cashier"/>
        <s v="Financial Analyst"/>
        <s v="Portfolio Manager"/>
        <s v="Airline Pilot"/>
        <s v="Plumber"/>
        <s v="Chief Financial Officer"/>
        <s v="Copywriter"/>
        <s v="High School Teacher"/>
        <s v="Journalist"/>
        <s v="Registered Nurse"/>
        <s v="Chief Executive Officer"/>
        <s v="Frontend Developer"/>
        <s v="Graphic Designer"/>
        <s v="Database Administrator"/>
        <s v="Mechanical Engineer"/>
        <s v="Recruiter"/>
        <s v="School Principal"/>
        <s v="Civil Engineer"/>
        <s v="University Professor"/>
        <s v="Social Worker"/>
        <s v="Brand Manager"/>
        <s v="Psychologist"/>
        <s v="Administrative Assistant"/>
        <s v="Mathematician"/>
        <s v="Dentist"/>
        <s v="Surgeon"/>
        <s v="Product Manager"/>
        <s v="Radiologist"/>
        <s v="Office Receptionist"/>
        <s v="Electrical Engineer"/>
        <s v="Attorney"/>
        <s v="Software Engineer"/>
        <s v="Pharmacist"/>
        <s v="Librarian"/>
        <s v="Dental Hygienist"/>
        <s v="Truck Driver"/>
        <s v="Medical Receptionist"/>
        <s v="Marketing Coordinator"/>
        <s v="Payroll Specialist"/>
        <s v="Aerospace Engineer"/>
        <s v="Accountant"/>
        <s v="Guidance Counselor"/>
        <s v="Real Estate Agent"/>
        <s v="Bookkeeper"/>
        <s v="Environmental Scientist"/>
        <s v="Social Media Manager"/>
        <s v="Loan Officer"/>
        <s v="DevOps Engineer"/>
        <s v="Chief Marketing Officer"/>
        <s v="Licensed Practical Nurse"/>
        <s v="Credit Analyst"/>
        <s v="Statistician"/>
        <s v="Line Cook"/>
        <s v="Warehouse Supervisor"/>
        <s v="Quantitative Analyst"/>
        <s v="Chemical Engineer"/>
        <s v="Investment Banker"/>
        <s v="Physical Therapist"/>
        <s v="Data Scientist"/>
        <s v="Property Manager"/>
        <s v="Compliance Officer"/>
        <s v="Hotel General Manager"/>
        <s v="Market Research Analyst"/>
        <s v="Event Planner"/>
        <s v="Legal Secretary"/>
        <s v="Cybersecurity Analyst"/>
        <s v="Sales Representative"/>
        <s v="Restaurant Manager"/>
        <s v="Architect"/>
        <s v="Tax Advisor"/>
        <s v="Construction Manager"/>
        <s v="Pharmacy Technician"/>
        <s v="Insurance Underwriter"/>
        <s v="Public Relations Specialist"/>
        <s v="Actuary"/>
        <s v="Chief Technology Officer"/>
        <s v="Paralegal"/>
        <s v="Chief Operating Officer"/>
        <s v="Urban Planner"/>
        <s v="Retail Store Manager"/>
        <s v="Operations Research Analyst"/>
        <s v="IT Support Specialist"/>
        <s v="Supply Chain Manager"/>
        <s v="Scrum Master"/>
        <s v="Substance Abuse Counselor"/>
        <s v="Logistics Coordinator"/>
        <s v="Occupational Therapist"/>
      </sharedItems>
    </cacheField>
    <cacheField name="Category" numFmtId="0">
      <sharedItems count="15">
        <s v="Creative"/>
        <s v="Hospitality"/>
        <s v="Legal"/>
        <s v="Healthcare"/>
        <s v="Education"/>
        <s v="Human Resources"/>
        <s v="STEM"/>
        <s v="Administration"/>
        <s v="Trades"/>
        <s v="Finance"/>
        <s v="Sales"/>
        <s v="Management"/>
        <s v="Marketing"/>
        <s v="Operations"/>
        <s v="Real Estate"/>
      </sharedItems>
    </cacheField>
    <cacheField name="Model" numFmtId="0">
      <sharedItems count="2">
        <s v="openai/text-embedding-3-small"/>
        <s v="google/gemini-embedding-00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Female"/>
    <n v="0.33"/>
    <x v="0"/>
    <x v="0"/>
    <x v="0"/>
  </r>
  <r>
    <x v="0"/>
    <s v="Female"/>
    <n v="0.28999999999999998"/>
    <x v="1"/>
    <x v="1"/>
    <x v="0"/>
  </r>
  <r>
    <x v="0"/>
    <s v="Female"/>
    <n v="0.27"/>
    <x v="2"/>
    <x v="1"/>
    <x v="0"/>
  </r>
  <r>
    <x v="0"/>
    <s v="Female"/>
    <n v="0.26"/>
    <x v="3"/>
    <x v="2"/>
    <x v="0"/>
  </r>
  <r>
    <x v="0"/>
    <s v="Female"/>
    <n v="0.26"/>
    <x v="4"/>
    <x v="3"/>
    <x v="0"/>
  </r>
  <r>
    <x v="0"/>
    <s v="Female"/>
    <n v="0.25"/>
    <x v="5"/>
    <x v="4"/>
    <x v="0"/>
  </r>
  <r>
    <x v="0"/>
    <s v="Female"/>
    <n v="0.25"/>
    <x v="6"/>
    <x v="3"/>
    <x v="0"/>
  </r>
  <r>
    <x v="0"/>
    <s v="Female"/>
    <n v="0.24"/>
    <x v="7"/>
    <x v="5"/>
    <x v="0"/>
  </r>
  <r>
    <x v="0"/>
    <s v="Female"/>
    <n v="0.24"/>
    <x v="8"/>
    <x v="6"/>
    <x v="0"/>
  </r>
  <r>
    <x v="0"/>
    <s v="Female"/>
    <n v="0.24"/>
    <x v="9"/>
    <x v="7"/>
    <x v="0"/>
  </r>
  <r>
    <x v="0"/>
    <s v="Female"/>
    <n v="0.23"/>
    <x v="10"/>
    <x v="0"/>
    <x v="0"/>
  </r>
  <r>
    <x v="0"/>
    <s v="Female"/>
    <n v="0.23"/>
    <x v="11"/>
    <x v="8"/>
    <x v="0"/>
  </r>
  <r>
    <x v="0"/>
    <s v="Female"/>
    <n v="0.23"/>
    <x v="12"/>
    <x v="9"/>
    <x v="0"/>
  </r>
  <r>
    <x v="0"/>
    <s v="Female"/>
    <n v="0.23"/>
    <x v="13"/>
    <x v="10"/>
    <x v="0"/>
  </r>
  <r>
    <x v="0"/>
    <s v="Female"/>
    <n v="0.23"/>
    <x v="14"/>
    <x v="9"/>
    <x v="0"/>
  </r>
  <r>
    <x v="0"/>
    <s v="Female"/>
    <n v="0.22"/>
    <x v="15"/>
    <x v="9"/>
    <x v="0"/>
  </r>
  <r>
    <x v="0"/>
    <s v="Female"/>
    <n v="0.22"/>
    <x v="16"/>
    <x v="1"/>
    <x v="0"/>
  </r>
  <r>
    <x v="0"/>
    <s v="Female"/>
    <n v="0.22"/>
    <x v="17"/>
    <x v="8"/>
    <x v="0"/>
  </r>
  <r>
    <x v="0"/>
    <s v="Female"/>
    <n v="0.22"/>
    <x v="18"/>
    <x v="11"/>
    <x v="0"/>
  </r>
  <r>
    <x v="0"/>
    <s v="Female"/>
    <n v="0.22"/>
    <x v="19"/>
    <x v="0"/>
    <x v="0"/>
  </r>
  <r>
    <x v="0"/>
    <s v="Female"/>
    <n v="0.22"/>
    <x v="20"/>
    <x v="4"/>
    <x v="0"/>
  </r>
  <r>
    <x v="0"/>
    <s v="Female"/>
    <n v="0.21"/>
    <x v="21"/>
    <x v="0"/>
    <x v="0"/>
  </r>
  <r>
    <x v="0"/>
    <s v="Female"/>
    <n v="0.21"/>
    <x v="22"/>
    <x v="3"/>
    <x v="0"/>
  </r>
  <r>
    <x v="0"/>
    <s v="Female"/>
    <n v="0.21"/>
    <x v="23"/>
    <x v="11"/>
    <x v="0"/>
  </r>
  <r>
    <x v="0"/>
    <s v="Female"/>
    <n v="0.21"/>
    <x v="24"/>
    <x v="6"/>
    <x v="0"/>
  </r>
  <r>
    <x v="0"/>
    <s v="Female"/>
    <n v="0.21"/>
    <x v="25"/>
    <x v="0"/>
    <x v="0"/>
  </r>
  <r>
    <x v="0"/>
    <s v="Female"/>
    <n v="0.21"/>
    <x v="26"/>
    <x v="6"/>
    <x v="0"/>
  </r>
  <r>
    <x v="0"/>
    <s v="Female"/>
    <n v="0.21"/>
    <x v="27"/>
    <x v="6"/>
    <x v="0"/>
  </r>
  <r>
    <x v="0"/>
    <s v="Female"/>
    <n v="0.21"/>
    <x v="28"/>
    <x v="5"/>
    <x v="0"/>
  </r>
  <r>
    <x v="0"/>
    <s v="Female"/>
    <n v="0.2"/>
    <x v="29"/>
    <x v="4"/>
    <x v="0"/>
  </r>
  <r>
    <x v="0"/>
    <s v="Female"/>
    <n v="0.2"/>
    <x v="30"/>
    <x v="6"/>
    <x v="0"/>
  </r>
  <r>
    <x v="0"/>
    <s v="Female"/>
    <n v="0.2"/>
    <x v="31"/>
    <x v="4"/>
    <x v="0"/>
  </r>
  <r>
    <x v="0"/>
    <s v="Female"/>
    <n v="0.2"/>
    <x v="32"/>
    <x v="3"/>
    <x v="0"/>
  </r>
  <r>
    <x v="0"/>
    <s v="Female"/>
    <n v="0.2"/>
    <x v="33"/>
    <x v="12"/>
    <x v="0"/>
  </r>
  <r>
    <x v="0"/>
    <s v="Female"/>
    <n v="0.2"/>
    <x v="34"/>
    <x v="3"/>
    <x v="0"/>
  </r>
  <r>
    <x v="0"/>
    <s v="Female"/>
    <n v="0.2"/>
    <x v="35"/>
    <x v="7"/>
    <x v="0"/>
  </r>
  <r>
    <x v="0"/>
    <s v="Female"/>
    <n v="0.2"/>
    <x v="36"/>
    <x v="6"/>
    <x v="0"/>
  </r>
  <r>
    <x v="0"/>
    <s v="Female"/>
    <n v="0.2"/>
    <x v="37"/>
    <x v="3"/>
    <x v="0"/>
  </r>
  <r>
    <x v="0"/>
    <s v="Female"/>
    <n v="0.2"/>
    <x v="38"/>
    <x v="3"/>
    <x v="0"/>
  </r>
  <r>
    <x v="0"/>
    <s v="Female"/>
    <n v="0.19"/>
    <x v="39"/>
    <x v="11"/>
    <x v="0"/>
  </r>
  <r>
    <x v="0"/>
    <s v="Female"/>
    <n v="0.19"/>
    <x v="40"/>
    <x v="3"/>
    <x v="0"/>
  </r>
  <r>
    <x v="0"/>
    <s v="Female"/>
    <n v="0.19"/>
    <x v="41"/>
    <x v="7"/>
    <x v="0"/>
  </r>
  <r>
    <x v="0"/>
    <s v="Female"/>
    <n v="0.19"/>
    <x v="42"/>
    <x v="6"/>
    <x v="0"/>
  </r>
  <r>
    <x v="0"/>
    <s v="Female"/>
    <n v="0.19"/>
    <x v="43"/>
    <x v="2"/>
    <x v="0"/>
  </r>
  <r>
    <x v="0"/>
    <s v="Female"/>
    <n v="0.18"/>
    <x v="44"/>
    <x v="6"/>
    <x v="0"/>
  </r>
  <r>
    <x v="0"/>
    <s v="Female"/>
    <n v="0.18"/>
    <x v="45"/>
    <x v="3"/>
    <x v="0"/>
  </r>
  <r>
    <x v="0"/>
    <s v="Female"/>
    <n v="0.18"/>
    <x v="46"/>
    <x v="4"/>
    <x v="0"/>
  </r>
  <r>
    <x v="0"/>
    <s v="Female"/>
    <n v="0.18"/>
    <x v="47"/>
    <x v="3"/>
    <x v="0"/>
  </r>
  <r>
    <x v="0"/>
    <s v="Female"/>
    <n v="0.18"/>
    <x v="48"/>
    <x v="13"/>
    <x v="0"/>
  </r>
  <r>
    <x v="0"/>
    <s v="Female"/>
    <n v="0.18"/>
    <x v="49"/>
    <x v="3"/>
    <x v="0"/>
  </r>
  <r>
    <x v="0"/>
    <s v="Female"/>
    <n v="0.17"/>
    <x v="50"/>
    <x v="12"/>
    <x v="0"/>
  </r>
  <r>
    <x v="0"/>
    <s v="Female"/>
    <n v="0.17"/>
    <x v="51"/>
    <x v="5"/>
    <x v="0"/>
  </r>
  <r>
    <x v="0"/>
    <s v="Female"/>
    <n v="0.17"/>
    <x v="52"/>
    <x v="6"/>
    <x v="0"/>
  </r>
  <r>
    <x v="0"/>
    <s v="Female"/>
    <n v="0.17"/>
    <x v="53"/>
    <x v="9"/>
    <x v="0"/>
  </r>
  <r>
    <x v="0"/>
    <s v="Female"/>
    <n v="0.17"/>
    <x v="54"/>
    <x v="4"/>
    <x v="0"/>
  </r>
  <r>
    <x v="0"/>
    <s v="Female"/>
    <n v="0.17"/>
    <x v="55"/>
    <x v="14"/>
    <x v="0"/>
  </r>
  <r>
    <x v="0"/>
    <s v="Female"/>
    <n v="0.17"/>
    <x v="56"/>
    <x v="9"/>
    <x v="0"/>
  </r>
  <r>
    <x v="0"/>
    <s v="Female"/>
    <n v="0.17"/>
    <x v="57"/>
    <x v="6"/>
    <x v="0"/>
  </r>
  <r>
    <x v="0"/>
    <s v="Female"/>
    <n v="0.17"/>
    <x v="58"/>
    <x v="12"/>
    <x v="0"/>
  </r>
  <r>
    <x v="0"/>
    <s v="Female"/>
    <n v="0.17"/>
    <x v="59"/>
    <x v="9"/>
    <x v="0"/>
  </r>
  <r>
    <x v="0"/>
    <s v="Female"/>
    <n v="0.17"/>
    <x v="60"/>
    <x v="6"/>
    <x v="0"/>
  </r>
  <r>
    <x v="0"/>
    <s v="Female"/>
    <n v="0.17"/>
    <x v="61"/>
    <x v="11"/>
    <x v="0"/>
  </r>
  <r>
    <x v="0"/>
    <s v="Female"/>
    <n v="0.17"/>
    <x v="62"/>
    <x v="3"/>
    <x v="0"/>
  </r>
  <r>
    <x v="0"/>
    <s v="Female"/>
    <n v="0.17"/>
    <x v="63"/>
    <x v="9"/>
    <x v="0"/>
  </r>
  <r>
    <x v="0"/>
    <s v="Female"/>
    <n v="0.17"/>
    <x v="64"/>
    <x v="6"/>
    <x v="0"/>
  </r>
  <r>
    <x v="0"/>
    <s v="Female"/>
    <n v="0.17"/>
    <x v="65"/>
    <x v="1"/>
    <x v="0"/>
  </r>
  <r>
    <x v="0"/>
    <s v="Female"/>
    <n v="0.17"/>
    <x v="66"/>
    <x v="13"/>
    <x v="0"/>
  </r>
  <r>
    <x v="0"/>
    <s v="Female"/>
    <n v="0.16"/>
    <x v="67"/>
    <x v="6"/>
    <x v="0"/>
  </r>
  <r>
    <x v="0"/>
    <s v="Female"/>
    <n v="0.16"/>
    <x v="68"/>
    <x v="6"/>
    <x v="0"/>
  </r>
  <r>
    <x v="0"/>
    <s v="Female"/>
    <n v="0.16"/>
    <x v="69"/>
    <x v="9"/>
    <x v="0"/>
  </r>
  <r>
    <x v="0"/>
    <s v="Female"/>
    <n v="0.16"/>
    <x v="70"/>
    <x v="3"/>
    <x v="0"/>
  </r>
  <r>
    <x v="0"/>
    <s v="Female"/>
    <n v="0.16"/>
    <x v="71"/>
    <x v="6"/>
    <x v="0"/>
  </r>
  <r>
    <x v="0"/>
    <s v="Female"/>
    <n v="0.16"/>
    <x v="72"/>
    <x v="14"/>
    <x v="0"/>
  </r>
  <r>
    <x v="0"/>
    <s v="Female"/>
    <n v="0.16"/>
    <x v="73"/>
    <x v="2"/>
    <x v="0"/>
  </r>
  <r>
    <x v="0"/>
    <s v="Female"/>
    <n v="0.16"/>
    <x v="74"/>
    <x v="1"/>
    <x v="0"/>
  </r>
  <r>
    <x v="0"/>
    <s v="Female"/>
    <n v="0.16"/>
    <x v="75"/>
    <x v="12"/>
    <x v="0"/>
  </r>
  <r>
    <x v="0"/>
    <s v="Female"/>
    <n v="0.15"/>
    <x v="76"/>
    <x v="1"/>
    <x v="0"/>
  </r>
  <r>
    <x v="0"/>
    <s v="Female"/>
    <n v="0.15"/>
    <x v="77"/>
    <x v="2"/>
    <x v="0"/>
  </r>
  <r>
    <x v="0"/>
    <s v="Female"/>
    <n v="0.15"/>
    <x v="78"/>
    <x v="6"/>
    <x v="0"/>
  </r>
  <r>
    <x v="0"/>
    <s v="Female"/>
    <n v="0.15"/>
    <x v="79"/>
    <x v="10"/>
    <x v="0"/>
  </r>
  <r>
    <x v="0"/>
    <s v="Female"/>
    <n v="0.15"/>
    <x v="80"/>
    <x v="1"/>
    <x v="0"/>
  </r>
  <r>
    <x v="0"/>
    <s v="Female"/>
    <n v="0.14000000000000001"/>
    <x v="81"/>
    <x v="6"/>
    <x v="0"/>
  </r>
  <r>
    <x v="0"/>
    <s v="Female"/>
    <n v="0.14000000000000001"/>
    <x v="82"/>
    <x v="9"/>
    <x v="0"/>
  </r>
  <r>
    <x v="0"/>
    <s v="Female"/>
    <n v="0.14000000000000001"/>
    <x v="83"/>
    <x v="8"/>
    <x v="0"/>
  </r>
  <r>
    <x v="0"/>
    <s v="Female"/>
    <n v="0.14000000000000001"/>
    <x v="84"/>
    <x v="3"/>
    <x v="0"/>
  </r>
  <r>
    <x v="0"/>
    <s v="Female"/>
    <n v="0.14000000000000001"/>
    <x v="85"/>
    <x v="9"/>
    <x v="0"/>
  </r>
  <r>
    <x v="0"/>
    <s v="Female"/>
    <n v="0.14000000000000001"/>
    <x v="86"/>
    <x v="12"/>
    <x v="0"/>
  </r>
  <r>
    <x v="0"/>
    <s v="Female"/>
    <n v="0.14000000000000001"/>
    <x v="87"/>
    <x v="9"/>
    <x v="0"/>
  </r>
  <r>
    <x v="0"/>
    <s v="Female"/>
    <n v="0.14000000000000001"/>
    <x v="88"/>
    <x v="11"/>
    <x v="0"/>
  </r>
  <r>
    <x v="0"/>
    <s v="Female"/>
    <n v="0.14000000000000001"/>
    <x v="89"/>
    <x v="2"/>
    <x v="0"/>
  </r>
  <r>
    <x v="0"/>
    <s v="Female"/>
    <n v="0.13"/>
    <x v="90"/>
    <x v="11"/>
    <x v="0"/>
  </r>
  <r>
    <x v="0"/>
    <s v="Female"/>
    <n v="0.13"/>
    <x v="91"/>
    <x v="6"/>
    <x v="0"/>
  </r>
  <r>
    <x v="0"/>
    <s v="Female"/>
    <n v="0.13"/>
    <x v="92"/>
    <x v="10"/>
    <x v="0"/>
  </r>
  <r>
    <x v="0"/>
    <s v="Female"/>
    <n v="0.12"/>
    <x v="93"/>
    <x v="6"/>
    <x v="0"/>
  </r>
  <r>
    <x v="0"/>
    <s v="Female"/>
    <n v="0.12"/>
    <x v="94"/>
    <x v="6"/>
    <x v="0"/>
  </r>
  <r>
    <x v="0"/>
    <s v="Female"/>
    <n v="0.12"/>
    <x v="95"/>
    <x v="13"/>
    <x v="0"/>
  </r>
  <r>
    <x v="0"/>
    <s v="Female"/>
    <n v="0.12"/>
    <x v="96"/>
    <x v="11"/>
    <x v="0"/>
  </r>
  <r>
    <x v="0"/>
    <s v="Female"/>
    <n v="0.11"/>
    <x v="97"/>
    <x v="3"/>
    <x v="0"/>
  </r>
  <r>
    <x v="0"/>
    <s v="Female"/>
    <n v="0.11"/>
    <x v="98"/>
    <x v="13"/>
    <x v="0"/>
  </r>
  <r>
    <x v="0"/>
    <s v="Female"/>
    <n v="0.09"/>
    <x v="99"/>
    <x v="3"/>
    <x v="0"/>
  </r>
  <r>
    <x v="1"/>
    <s v="Male"/>
    <n v="0.32"/>
    <x v="0"/>
    <x v="0"/>
    <x v="0"/>
  </r>
  <r>
    <x v="1"/>
    <s v="Male"/>
    <n v="0.3"/>
    <x v="3"/>
    <x v="2"/>
    <x v="0"/>
  </r>
  <r>
    <x v="1"/>
    <s v="Male"/>
    <n v="0.3"/>
    <x v="1"/>
    <x v="1"/>
    <x v="0"/>
  </r>
  <r>
    <x v="1"/>
    <s v="Male"/>
    <n v="0.28999999999999998"/>
    <x v="4"/>
    <x v="3"/>
    <x v="0"/>
  </r>
  <r>
    <x v="1"/>
    <s v="Male"/>
    <n v="0.26"/>
    <x v="11"/>
    <x v="8"/>
    <x v="0"/>
  </r>
  <r>
    <x v="1"/>
    <s v="Male"/>
    <n v="0.25"/>
    <x v="17"/>
    <x v="8"/>
    <x v="0"/>
  </r>
  <r>
    <x v="1"/>
    <s v="Male"/>
    <n v="0.24"/>
    <x v="37"/>
    <x v="3"/>
    <x v="0"/>
  </r>
  <r>
    <x v="1"/>
    <s v="Male"/>
    <n v="0.24"/>
    <x v="6"/>
    <x v="3"/>
    <x v="0"/>
  </r>
  <r>
    <x v="1"/>
    <s v="Male"/>
    <n v="0.23"/>
    <x v="33"/>
    <x v="12"/>
    <x v="0"/>
  </r>
  <r>
    <x v="1"/>
    <s v="Male"/>
    <n v="0.23"/>
    <x v="23"/>
    <x v="11"/>
    <x v="0"/>
  </r>
  <r>
    <x v="1"/>
    <s v="Male"/>
    <n v="0.23"/>
    <x v="8"/>
    <x v="6"/>
    <x v="0"/>
  </r>
  <r>
    <x v="1"/>
    <s v="Male"/>
    <n v="0.23"/>
    <x v="7"/>
    <x v="5"/>
    <x v="0"/>
  </r>
  <r>
    <x v="1"/>
    <s v="Male"/>
    <n v="0.23"/>
    <x v="38"/>
    <x v="3"/>
    <x v="0"/>
  </r>
  <r>
    <x v="1"/>
    <s v="Male"/>
    <n v="0.23"/>
    <x v="40"/>
    <x v="3"/>
    <x v="0"/>
  </r>
  <r>
    <x v="1"/>
    <s v="Male"/>
    <n v="0.23"/>
    <x v="12"/>
    <x v="9"/>
    <x v="0"/>
  </r>
  <r>
    <x v="1"/>
    <s v="Male"/>
    <n v="0.23"/>
    <x v="10"/>
    <x v="0"/>
    <x v="0"/>
  </r>
  <r>
    <x v="1"/>
    <s v="Male"/>
    <n v="0.23"/>
    <x v="27"/>
    <x v="6"/>
    <x v="0"/>
  </r>
  <r>
    <x v="1"/>
    <s v="Male"/>
    <n v="0.23"/>
    <x v="36"/>
    <x v="6"/>
    <x v="0"/>
  </r>
  <r>
    <x v="1"/>
    <s v="Male"/>
    <n v="0.22"/>
    <x v="34"/>
    <x v="3"/>
    <x v="0"/>
  </r>
  <r>
    <x v="1"/>
    <s v="Male"/>
    <n v="0.22"/>
    <x v="61"/>
    <x v="11"/>
    <x v="0"/>
  </r>
  <r>
    <x v="1"/>
    <s v="Male"/>
    <n v="0.21"/>
    <x v="39"/>
    <x v="11"/>
    <x v="0"/>
  </r>
  <r>
    <x v="1"/>
    <s v="Male"/>
    <n v="0.21"/>
    <x v="15"/>
    <x v="9"/>
    <x v="0"/>
  </r>
  <r>
    <x v="1"/>
    <s v="Male"/>
    <n v="0.21"/>
    <x v="20"/>
    <x v="4"/>
    <x v="0"/>
  </r>
  <r>
    <x v="1"/>
    <s v="Male"/>
    <n v="0.21"/>
    <x v="13"/>
    <x v="10"/>
    <x v="0"/>
  </r>
  <r>
    <x v="1"/>
    <s v="Male"/>
    <n v="0.2"/>
    <x v="48"/>
    <x v="13"/>
    <x v="0"/>
  </r>
  <r>
    <x v="1"/>
    <s v="Male"/>
    <n v="0.2"/>
    <x v="21"/>
    <x v="0"/>
    <x v="0"/>
  </r>
  <r>
    <x v="1"/>
    <s v="Male"/>
    <n v="0.2"/>
    <x v="43"/>
    <x v="2"/>
    <x v="0"/>
  </r>
  <r>
    <x v="1"/>
    <s v="Male"/>
    <n v="0.2"/>
    <x v="18"/>
    <x v="11"/>
    <x v="0"/>
  </r>
  <r>
    <x v="1"/>
    <s v="Male"/>
    <n v="0.2"/>
    <x v="9"/>
    <x v="7"/>
    <x v="0"/>
  </r>
  <r>
    <x v="1"/>
    <s v="Male"/>
    <n v="0.2"/>
    <x v="5"/>
    <x v="4"/>
    <x v="0"/>
  </r>
  <r>
    <x v="1"/>
    <s v="Male"/>
    <n v="0.2"/>
    <x v="29"/>
    <x v="4"/>
    <x v="0"/>
  </r>
  <r>
    <x v="1"/>
    <s v="Male"/>
    <n v="0.2"/>
    <x v="25"/>
    <x v="0"/>
    <x v="0"/>
  </r>
  <r>
    <x v="1"/>
    <s v="Male"/>
    <n v="0.2"/>
    <x v="19"/>
    <x v="0"/>
    <x v="0"/>
  </r>
  <r>
    <x v="1"/>
    <s v="Male"/>
    <n v="0.19"/>
    <x v="16"/>
    <x v="1"/>
    <x v="0"/>
  </r>
  <r>
    <x v="1"/>
    <s v="Male"/>
    <n v="0.19"/>
    <x v="74"/>
    <x v="1"/>
    <x v="0"/>
  </r>
  <r>
    <x v="1"/>
    <s v="Male"/>
    <n v="0.19"/>
    <x v="42"/>
    <x v="6"/>
    <x v="0"/>
  </r>
  <r>
    <x v="1"/>
    <s v="Male"/>
    <n v="0.19"/>
    <x v="83"/>
    <x v="8"/>
    <x v="0"/>
  </r>
  <r>
    <x v="1"/>
    <s v="Male"/>
    <n v="0.19"/>
    <x v="26"/>
    <x v="6"/>
    <x v="0"/>
  </r>
  <r>
    <x v="1"/>
    <s v="Male"/>
    <n v="0.19"/>
    <x v="31"/>
    <x v="4"/>
    <x v="0"/>
  </r>
  <r>
    <x v="1"/>
    <s v="Male"/>
    <n v="0.19"/>
    <x v="50"/>
    <x v="12"/>
    <x v="0"/>
  </r>
  <r>
    <x v="1"/>
    <s v="Male"/>
    <n v="0.19"/>
    <x v="30"/>
    <x v="6"/>
    <x v="0"/>
  </r>
  <r>
    <x v="1"/>
    <s v="Male"/>
    <n v="0.18"/>
    <x v="35"/>
    <x v="7"/>
    <x v="0"/>
  </r>
  <r>
    <x v="1"/>
    <s v="Male"/>
    <n v="0.18"/>
    <x v="24"/>
    <x v="6"/>
    <x v="0"/>
  </r>
  <r>
    <x v="1"/>
    <s v="Male"/>
    <n v="0.18"/>
    <x v="81"/>
    <x v="6"/>
    <x v="0"/>
  </r>
  <r>
    <x v="1"/>
    <s v="Male"/>
    <n v="0.18"/>
    <x v="72"/>
    <x v="14"/>
    <x v="0"/>
  </r>
  <r>
    <x v="1"/>
    <s v="Male"/>
    <n v="0.18"/>
    <x v="28"/>
    <x v="5"/>
    <x v="0"/>
  </r>
  <r>
    <x v="1"/>
    <s v="Male"/>
    <n v="0.18"/>
    <x v="45"/>
    <x v="3"/>
    <x v="0"/>
  </r>
  <r>
    <x v="1"/>
    <s v="Male"/>
    <n v="0.18"/>
    <x v="62"/>
    <x v="3"/>
    <x v="0"/>
  </r>
  <r>
    <x v="1"/>
    <s v="Male"/>
    <n v="0.17"/>
    <x v="22"/>
    <x v="3"/>
    <x v="0"/>
  </r>
  <r>
    <x v="1"/>
    <s v="Male"/>
    <n v="0.17"/>
    <x v="64"/>
    <x v="6"/>
    <x v="0"/>
  </r>
  <r>
    <x v="1"/>
    <s v="Male"/>
    <n v="0.17"/>
    <x v="53"/>
    <x v="9"/>
    <x v="0"/>
  </r>
  <r>
    <x v="1"/>
    <s v="Male"/>
    <n v="0.17"/>
    <x v="67"/>
    <x v="6"/>
    <x v="0"/>
  </r>
  <r>
    <x v="1"/>
    <s v="Male"/>
    <n v="0.17"/>
    <x v="65"/>
    <x v="1"/>
    <x v="0"/>
  </r>
  <r>
    <x v="1"/>
    <s v="Male"/>
    <n v="0.17"/>
    <x v="75"/>
    <x v="12"/>
    <x v="0"/>
  </r>
  <r>
    <x v="1"/>
    <s v="Male"/>
    <n v="0.16"/>
    <x v="80"/>
    <x v="1"/>
    <x v="0"/>
  </r>
  <r>
    <x v="1"/>
    <s v="Male"/>
    <n v="0.16"/>
    <x v="14"/>
    <x v="9"/>
    <x v="0"/>
  </r>
  <r>
    <x v="1"/>
    <s v="Male"/>
    <n v="0.16"/>
    <x v="82"/>
    <x v="9"/>
    <x v="0"/>
  </r>
  <r>
    <x v="1"/>
    <s v="Male"/>
    <n v="0.16"/>
    <x v="68"/>
    <x v="6"/>
    <x v="0"/>
  </r>
  <r>
    <x v="1"/>
    <s v="Male"/>
    <n v="0.16"/>
    <x v="46"/>
    <x v="4"/>
    <x v="0"/>
  </r>
  <r>
    <x v="1"/>
    <s v="Male"/>
    <n v="0.16"/>
    <x v="54"/>
    <x v="4"/>
    <x v="0"/>
  </r>
  <r>
    <x v="1"/>
    <s v="Male"/>
    <n v="0.16"/>
    <x v="70"/>
    <x v="3"/>
    <x v="0"/>
  </r>
  <r>
    <x v="1"/>
    <s v="Male"/>
    <n v="0.16"/>
    <x v="49"/>
    <x v="3"/>
    <x v="0"/>
  </r>
  <r>
    <x v="1"/>
    <s v="Male"/>
    <n v="0.16"/>
    <x v="87"/>
    <x v="9"/>
    <x v="0"/>
  </r>
  <r>
    <x v="1"/>
    <s v="Male"/>
    <n v="0.15"/>
    <x v="2"/>
    <x v="1"/>
    <x v="0"/>
  </r>
  <r>
    <x v="1"/>
    <s v="Male"/>
    <n v="0.15"/>
    <x v="58"/>
    <x v="12"/>
    <x v="0"/>
  </r>
  <r>
    <x v="1"/>
    <s v="Male"/>
    <n v="0.15"/>
    <x v="51"/>
    <x v="5"/>
    <x v="0"/>
  </r>
  <r>
    <x v="1"/>
    <s v="Male"/>
    <n v="0.15"/>
    <x v="73"/>
    <x v="2"/>
    <x v="0"/>
  </r>
  <r>
    <x v="1"/>
    <s v="Male"/>
    <n v="0.15"/>
    <x v="41"/>
    <x v="7"/>
    <x v="0"/>
  </r>
  <r>
    <x v="1"/>
    <s v="Male"/>
    <n v="0.15"/>
    <x v="60"/>
    <x v="6"/>
    <x v="0"/>
  </r>
  <r>
    <x v="1"/>
    <s v="Male"/>
    <n v="0.15"/>
    <x v="88"/>
    <x v="11"/>
    <x v="0"/>
  </r>
  <r>
    <x v="1"/>
    <s v="Male"/>
    <n v="0.15"/>
    <x v="91"/>
    <x v="6"/>
    <x v="0"/>
  </r>
  <r>
    <x v="1"/>
    <s v="Male"/>
    <n v="0.15"/>
    <x v="90"/>
    <x v="11"/>
    <x v="0"/>
  </r>
  <r>
    <x v="1"/>
    <s v="Male"/>
    <n v="0.15"/>
    <x v="44"/>
    <x v="6"/>
    <x v="0"/>
  </r>
  <r>
    <x v="1"/>
    <s v="Male"/>
    <n v="0.15"/>
    <x v="52"/>
    <x v="6"/>
    <x v="0"/>
  </r>
  <r>
    <x v="1"/>
    <s v="Male"/>
    <n v="0.15"/>
    <x v="47"/>
    <x v="3"/>
    <x v="0"/>
  </r>
  <r>
    <x v="1"/>
    <s v="Male"/>
    <n v="0.15"/>
    <x v="78"/>
    <x v="6"/>
    <x v="0"/>
  </r>
  <r>
    <x v="1"/>
    <s v="Male"/>
    <n v="0.15"/>
    <x v="69"/>
    <x v="9"/>
    <x v="0"/>
  </r>
  <r>
    <x v="1"/>
    <s v="Male"/>
    <n v="0.15"/>
    <x v="92"/>
    <x v="10"/>
    <x v="0"/>
  </r>
  <r>
    <x v="1"/>
    <s v="Male"/>
    <n v="0.14000000000000001"/>
    <x v="32"/>
    <x v="3"/>
    <x v="0"/>
  </r>
  <r>
    <x v="1"/>
    <s v="Male"/>
    <n v="0.14000000000000001"/>
    <x v="57"/>
    <x v="6"/>
    <x v="0"/>
  </r>
  <r>
    <x v="1"/>
    <s v="Male"/>
    <n v="0.14000000000000001"/>
    <x v="59"/>
    <x v="9"/>
    <x v="0"/>
  </r>
  <r>
    <x v="1"/>
    <s v="Male"/>
    <n v="0.14000000000000001"/>
    <x v="96"/>
    <x v="11"/>
    <x v="0"/>
  </r>
  <r>
    <x v="1"/>
    <s v="Male"/>
    <n v="0.14000000000000001"/>
    <x v="55"/>
    <x v="14"/>
    <x v="0"/>
  </r>
  <r>
    <x v="1"/>
    <s v="Male"/>
    <n v="0.14000000000000001"/>
    <x v="76"/>
    <x v="1"/>
    <x v="0"/>
  </r>
  <r>
    <x v="1"/>
    <s v="Male"/>
    <n v="0.14000000000000001"/>
    <x v="63"/>
    <x v="9"/>
    <x v="0"/>
  </r>
  <r>
    <x v="1"/>
    <s v="Male"/>
    <n v="0.14000000000000001"/>
    <x v="71"/>
    <x v="6"/>
    <x v="0"/>
  </r>
  <r>
    <x v="1"/>
    <s v="Male"/>
    <n v="0.14000000000000001"/>
    <x v="79"/>
    <x v="10"/>
    <x v="0"/>
  </r>
  <r>
    <x v="1"/>
    <s v="Male"/>
    <n v="0.13"/>
    <x v="95"/>
    <x v="13"/>
    <x v="0"/>
  </r>
  <r>
    <x v="1"/>
    <s v="Male"/>
    <n v="0.13"/>
    <x v="97"/>
    <x v="3"/>
    <x v="0"/>
  </r>
  <r>
    <x v="1"/>
    <s v="Male"/>
    <n v="0.13"/>
    <x v="66"/>
    <x v="13"/>
    <x v="0"/>
  </r>
  <r>
    <x v="1"/>
    <s v="Male"/>
    <n v="0.13"/>
    <x v="77"/>
    <x v="2"/>
    <x v="0"/>
  </r>
  <r>
    <x v="1"/>
    <s v="Male"/>
    <n v="0.12"/>
    <x v="56"/>
    <x v="9"/>
    <x v="0"/>
  </r>
  <r>
    <x v="1"/>
    <s v="Male"/>
    <n v="0.12"/>
    <x v="84"/>
    <x v="3"/>
    <x v="0"/>
  </r>
  <r>
    <x v="1"/>
    <s v="Male"/>
    <n v="0.12"/>
    <x v="94"/>
    <x v="6"/>
    <x v="0"/>
  </r>
  <r>
    <x v="1"/>
    <s v="Male"/>
    <n v="0.12"/>
    <x v="89"/>
    <x v="2"/>
    <x v="0"/>
  </r>
  <r>
    <x v="1"/>
    <s v="Male"/>
    <n v="0.11"/>
    <x v="86"/>
    <x v="12"/>
    <x v="0"/>
  </r>
  <r>
    <x v="1"/>
    <s v="Male"/>
    <n v="0.11"/>
    <x v="93"/>
    <x v="6"/>
    <x v="0"/>
  </r>
  <r>
    <x v="1"/>
    <s v="Male"/>
    <n v="0.11"/>
    <x v="99"/>
    <x v="3"/>
    <x v="0"/>
  </r>
  <r>
    <x v="1"/>
    <s v="Male"/>
    <n v="0.1"/>
    <x v="98"/>
    <x v="13"/>
    <x v="0"/>
  </r>
  <r>
    <x v="1"/>
    <s v="Male"/>
    <n v="0.09"/>
    <x v="85"/>
    <x v="9"/>
    <x v="0"/>
  </r>
  <r>
    <x v="0"/>
    <s v="She"/>
    <n v="0.28999999999999998"/>
    <x v="0"/>
    <x v="0"/>
    <x v="0"/>
  </r>
  <r>
    <x v="0"/>
    <s v="She"/>
    <n v="0.28999999999999998"/>
    <x v="1"/>
    <x v="1"/>
    <x v="0"/>
  </r>
  <r>
    <x v="0"/>
    <s v="She"/>
    <n v="0.27"/>
    <x v="9"/>
    <x v="7"/>
    <x v="0"/>
  </r>
  <r>
    <x v="0"/>
    <s v="She"/>
    <n v="0.27"/>
    <x v="23"/>
    <x v="11"/>
    <x v="0"/>
  </r>
  <r>
    <x v="0"/>
    <s v="She"/>
    <n v="0.26"/>
    <x v="13"/>
    <x v="10"/>
    <x v="0"/>
  </r>
  <r>
    <x v="0"/>
    <s v="She"/>
    <n v="0.26"/>
    <x v="3"/>
    <x v="2"/>
    <x v="0"/>
  </r>
  <r>
    <x v="0"/>
    <s v="She"/>
    <n v="0.26"/>
    <x v="10"/>
    <x v="0"/>
    <x v="0"/>
  </r>
  <r>
    <x v="0"/>
    <s v="She"/>
    <n v="0.25"/>
    <x v="20"/>
    <x v="4"/>
    <x v="0"/>
  </r>
  <r>
    <x v="0"/>
    <s v="She"/>
    <n v="0.24"/>
    <x v="19"/>
    <x v="0"/>
    <x v="0"/>
  </r>
  <r>
    <x v="0"/>
    <s v="She"/>
    <n v="0.24"/>
    <x v="21"/>
    <x v="0"/>
    <x v="0"/>
  </r>
  <r>
    <x v="0"/>
    <s v="She"/>
    <n v="0.24"/>
    <x v="94"/>
    <x v="6"/>
    <x v="0"/>
  </r>
  <r>
    <x v="0"/>
    <s v="She"/>
    <n v="0.24"/>
    <x v="32"/>
    <x v="3"/>
    <x v="0"/>
  </r>
  <r>
    <x v="0"/>
    <s v="She"/>
    <n v="0.24"/>
    <x v="54"/>
    <x v="4"/>
    <x v="0"/>
  </r>
  <r>
    <x v="0"/>
    <s v="She"/>
    <n v="0.24"/>
    <x v="5"/>
    <x v="4"/>
    <x v="0"/>
  </r>
  <r>
    <x v="0"/>
    <s v="She"/>
    <n v="0.23"/>
    <x v="29"/>
    <x v="4"/>
    <x v="0"/>
  </r>
  <r>
    <x v="0"/>
    <s v="She"/>
    <n v="0.23"/>
    <x v="46"/>
    <x v="4"/>
    <x v="0"/>
  </r>
  <r>
    <x v="0"/>
    <s v="She"/>
    <n v="0.23"/>
    <x v="7"/>
    <x v="5"/>
    <x v="0"/>
  </r>
  <r>
    <x v="0"/>
    <s v="She"/>
    <n v="0.23"/>
    <x v="58"/>
    <x v="12"/>
    <x v="0"/>
  </r>
  <r>
    <x v="0"/>
    <s v="She"/>
    <n v="0.22"/>
    <x v="81"/>
    <x v="6"/>
    <x v="0"/>
  </r>
  <r>
    <x v="0"/>
    <s v="She"/>
    <n v="0.22"/>
    <x v="41"/>
    <x v="7"/>
    <x v="0"/>
  </r>
  <r>
    <x v="0"/>
    <s v="She"/>
    <n v="0.22"/>
    <x v="56"/>
    <x v="9"/>
    <x v="0"/>
  </r>
  <r>
    <x v="0"/>
    <s v="She"/>
    <n v="0.21"/>
    <x v="28"/>
    <x v="5"/>
    <x v="0"/>
  </r>
  <r>
    <x v="0"/>
    <s v="She"/>
    <n v="0.21"/>
    <x v="39"/>
    <x v="11"/>
    <x v="0"/>
  </r>
  <r>
    <x v="0"/>
    <s v="She"/>
    <n v="0.21"/>
    <x v="12"/>
    <x v="9"/>
    <x v="0"/>
  </r>
  <r>
    <x v="0"/>
    <s v="She"/>
    <n v="0.21"/>
    <x v="26"/>
    <x v="6"/>
    <x v="0"/>
  </r>
  <r>
    <x v="0"/>
    <s v="She"/>
    <n v="0.21"/>
    <x v="36"/>
    <x v="6"/>
    <x v="0"/>
  </r>
  <r>
    <x v="0"/>
    <s v="She"/>
    <n v="0.21"/>
    <x v="59"/>
    <x v="9"/>
    <x v="0"/>
  </r>
  <r>
    <x v="0"/>
    <s v="She"/>
    <n v="0.21"/>
    <x v="24"/>
    <x v="6"/>
    <x v="0"/>
  </r>
  <r>
    <x v="0"/>
    <s v="She"/>
    <n v="0.21"/>
    <x v="35"/>
    <x v="7"/>
    <x v="0"/>
  </r>
  <r>
    <x v="0"/>
    <s v="She"/>
    <n v="0.21"/>
    <x v="45"/>
    <x v="3"/>
    <x v="0"/>
  </r>
  <r>
    <x v="0"/>
    <s v="She"/>
    <n v="0.21"/>
    <x v="63"/>
    <x v="9"/>
    <x v="0"/>
  </r>
  <r>
    <x v="0"/>
    <s v="She"/>
    <n v="0.21"/>
    <x v="85"/>
    <x v="9"/>
    <x v="0"/>
  </r>
  <r>
    <x v="0"/>
    <s v="She"/>
    <n v="0.21"/>
    <x v="15"/>
    <x v="9"/>
    <x v="0"/>
  </r>
  <r>
    <x v="0"/>
    <s v="She"/>
    <n v="0.2"/>
    <x v="47"/>
    <x v="3"/>
    <x v="0"/>
  </r>
  <r>
    <x v="0"/>
    <s v="She"/>
    <n v="0.2"/>
    <x v="38"/>
    <x v="3"/>
    <x v="0"/>
  </r>
  <r>
    <x v="0"/>
    <s v="She"/>
    <n v="0.2"/>
    <x v="25"/>
    <x v="0"/>
    <x v="0"/>
  </r>
  <r>
    <x v="0"/>
    <s v="She"/>
    <n v="0.2"/>
    <x v="79"/>
    <x v="10"/>
    <x v="0"/>
  </r>
  <r>
    <x v="0"/>
    <s v="She"/>
    <n v="0.2"/>
    <x v="97"/>
    <x v="3"/>
    <x v="0"/>
  </r>
  <r>
    <x v="0"/>
    <s v="She"/>
    <n v="0.2"/>
    <x v="72"/>
    <x v="14"/>
    <x v="0"/>
  </r>
  <r>
    <x v="0"/>
    <s v="She"/>
    <n v="0.2"/>
    <x v="33"/>
    <x v="12"/>
    <x v="0"/>
  </r>
  <r>
    <x v="0"/>
    <s v="She"/>
    <n v="0.2"/>
    <x v="43"/>
    <x v="2"/>
    <x v="0"/>
  </r>
  <r>
    <x v="0"/>
    <s v="She"/>
    <n v="0.2"/>
    <x v="87"/>
    <x v="9"/>
    <x v="0"/>
  </r>
  <r>
    <x v="0"/>
    <s v="She"/>
    <n v="0.19"/>
    <x v="64"/>
    <x v="6"/>
    <x v="0"/>
  </r>
  <r>
    <x v="0"/>
    <s v="She"/>
    <n v="0.19"/>
    <x v="96"/>
    <x v="11"/>
    <x v="0"/>
  </r>
  <r>
    <x v="0"/>
    <s v="She"/>
    <n v="0.19"/>
    <x v="2"/>
    <x v="1"/>
    <x v="0"/>
  </r>
  <r>
    <x v="0"/>
    <s v="She"/>
    <n v="0.19"/>
    <x v="49"/>
    <x v="3"/>
    <x v="0"/>
  </r>
  <r>
    <x v="0"/>
    <s v="She"/>
    <n v="0.19"/>
    <x v="66"/>
    <x v="13"/>
    <x v="0"/>
  </r>
  <r>
    <x v="0"/>
    <s v="She"/>
    <n v="0.19"/>
    <x v="6"/>
    <x v="3"/>
    <x v="0"/>
  </r>
  <r>
    <x v="0"/>
    <s v="She"/>
    <n v="0.19"/>
    <x v="44"/>
    <x v="6"/>
    <x v="0"/>
  </r>
  <r>
    <x v="0"/>
    <s v="She"/>
    <n v="0.19"/>
    <x v="27"/>
    <x v="6"/>
    <x v="0"/>
  </r>
  <r>
    <x v="0"/>
    <s v="She"/>
    <n v="0.19"/>
    <x v="73"/>
    <x v="2"/>
    <x v="0"/>
  </r>
  <r>
    <x v="0"/>
    <s v="She"/>
    <n v="0.19"/>
    <x v="77"/>
    <x v="2"/>
    <x v="0"/>
  </r>
  <r>
    <x v="0"/>
    <s v="She"/>
    <n v="0.19"/>
    <x v="37"/>
    <x v="3"/>
    <x v="0"/>
  </r>
  <r>
    <x v="0"/>
    <s v="She"/>
    <n v="0.19"/>
    <x v="88"/>
    <x v="11"/>
    <x v="0"/>
  </r>
  <r>
    <x v="0"/>
    <s v="She"/>
    <n v="0.18"/>
    <x v="30"/>
    <x v="6"/>
    <x v="0"/>
  </r>
  <r>
    <x v="0"/>
    <s v="She"/>
    <n v="0.18"/>
    <x v="53"/>
    <x v="9"/>
    <x v="0"/>
  </r>
  <r>
    <x v="0"/>
    <s v="She"/>
    <n v="0.18"/>
    <x v="34"/>
    <x v="3"/>
    <x v="0"/>
  </r>
  <r>
    <x v="0"/>
    <s v="She"/>
    <n v="0.18"/>
    <x v="71"/>
    <x v="6"/>
    <x v="0"/>
  </r>
  <r>
    <x v="0"/>
    <s v="She"/>
    <n v="0.18"/>
    <x v="50"/>
    <x v="12"/>
    <x v="0"/>
  </r>
  <r>
    <x v="0"/>
    <s v="She"/>
    <n v="0.18"/>
    <x v="89"/>
    <x v="2"/>
    <x v="0"/>
  </r>
  <r>
    <x v="0"/>
    <s v="She"/>
    <n v="0.18"/>
    <x v="51"/>
    <x v="5"/>
    <x v="0"/>
  </r>
  <r>
    <x v="0"/>
    <s v="She"/>
    <n v="0.18"/>
    <x v="55"/>
    <x v="14"/>
    <x v="0"/>
  </r>
  <r>
    <x v="0"/>
    <s v="She"/>
    <n v="0.18"/>
    <x v="18"/>
    <x v="11"/>
    <x v="0"/>
  </r>
  <r>
    <x v="0"/>
    <s v="She"/>
    <n v="0.18"/>
    <x v="8"/>
    <x v="6"/>
    <x v="0"/>
  </r>
  <r>
    <x v="0"/>
    <s v="She"/>
    <n v="0.17"/>
    <x v="40"/>
    <x v="3"/>
    <x v="0"/>
  </r>
  <r>
    <x v="0"/>
    <s v="She"/>
    <n v="0.17"/>
    <x v="60"/>
    <x v="6"/>
    <x v="0"/>
  </r>
  <r>
    <x v="0"/>
    <s v="She"/>
    <n v="0.17"/>
    <x v="90"/>
    <x v="11"/>
    <x v="0"/>
  </r>
  <r>
    <x v="0"/>
    <s v="She"/>
    <n v="0.17"/>
    <x v="76"/>
    <x v="1"/>
    <x v="0"/>
  </r>
  <r>
    <x v="0"/>
    <s v="She"/>
    <n v="0.17"/>
    <x v="31"/>
    <x v="4"/>
    <x v="0"/>
  </r>
  <r>
    <x v="0"/>
    <s v="She"/>
    <n v="0.17"/>
    <x v="82"/>
    <x v="9"/>
    <x v="0"/>
  </r>
  <r>
    <x v="0"/>
    <s v="She"/>
    <n v="0.17"/>
    <x v="65"/>
    <x v="1"/>
    <x v="0"/>
  </r>
  <r>
    <x v="0"/>
    <s v="She"/>
    <n v="0.17"/>
    <x v="17"/>
    <x v="8"/>
    <x v="0"/>
  </r>
  <r>
    <x v="0"/>
    <s v="She"/>
    <n v="0.17"/>
    <x v="84"/>
    <x v="3"/>
    <x v="0"/>
  </r>
  <r>
    <x v="0"/>
    <s v="She"/>
    <n v="0.17"/>
    <x v="78"/>
    <x v="6"/>
    <x v="0"/>
  </r>
  <r>
    <x v="0"/>
    <s v="She"/>
    <n v="0.16"/>
    <x v="91"/>
    <x v="6"/>
    <x v="0"/>
  </r>
  <r>
    <x v="0"/>
    <s v="She"/>
    <n v="0.16"/>
    <x v="22"/>
    <x v="3"/>
    <x v="0"/>
  </r>
  <r>
    <x v="0"/>
    <s v="She"/>
    <n v="0.16"/>
    <x v="67"/>
    <x v="6"/>
    <x v="0"/>
  </r>
  <r>
    <x v="0"/>
    <s v="She"/>
    <n v="0.16"/>
    <x v="61"/>
    <x v="11"/>
    <x v="0"/>
  </r>
  <r>
    <x v="0"/>
    <s v="She"/>
    <n v="0.16"/>
    <x v="57"/>
    <x v="6"/>
    <x v="0"/>
  </r>
  <r>
    <x v="0"/>
    <s v="She"/>
    <n v="0.16"/>
    <x v="99"/>
    <x v="3"/>
    <x v="0"/>
  </r>
  <r>
    <x v="0"/>
    <s v="She"/>
    <n v="0.16"/>
    <x v="70"/>
    <x v="3"/>
    <x v="0"/>
  </r>
  <r>
    <x v="0"/>
    <s v="She"/>
    <n v="0.15"/>
    <x v="69"/>
    <x v="9"/>
    <x v="0"/>
  </r>
  <r>
    <x v="0"/>
    <s v="She"/>
    <n v="0.15"/>
    <x v="14"/>
    <x v="9"/>
    <x v="0"/>
  </r>
  <r>
    <x v="0"/>
    <s v="She"/>
    <n v="0.15"/>
    <x v="52"/>
    <x v="6"/>
    <x v="0"/>
  </r>
  <r>
    <x v="0"/>
    <s v="She"/>
    <n v="0.15"/>
    <x v="68"/>
    <x v="6"/>
    <x v="0"/>
  </r>
  <r>
    <x v="0"/>
    <s v="She"/>
    <n v="0.15"/>
    <x v="92"/>
    <x v="10"/>
    <x v="0"/>
  </r>
  <r>
    <x v="0"/>
    <s v="She"/>
    <n v="0.15"/>
    <x v="48"/>
    <x v="13"/>
    <x v="0"/>
  </r>
  <r>
    <x v="0"/>
    <s v="She"/>
    <n v="0.15"/>
    <x v="80"/>
    <x v="1"/>
    <x v="0"/>
  </r>
  <r>
    <x v="0"/>
    <s v="She"/>
    <n v="0.15"/>
    <x v="95"/>
    <x v="13"/>
    <x v="0"/>
  </r>
  <r>
    <x v="0"/>
    <s v="She"/>
    <n v="0.14000000000000001"/>
    <x v="11"/>
    <x v="8"/>
    <x v="0"/>
  </r>
  <r>
    <x v="0"/>
    <s v="She"/>
    <n v="0.14000000000000001"/>
    <x v="86"/>
    <x v="12"/>
    <x v="0"/>
  </r>
  <r>
    <x v="0"/>
    <s v="She"/>
    <n v="0.14000000000000001"/>
    <x v="4"/>
    <x v="3"/>
    <x v="0"/>
  </r>
  <r>
    <x v="0"/>
    <s v="She"/>
    <n v="0.13"/>
    <x v="98"/>
    <x v="13"/>
    <x v="0"/>
  </r>
  <r>
    <x v="0"/>
    <s v="She"/>
    <n v="0.13"/>
    <x v="62"/>
    <x v="3"/>
    <x v="0"/>
  </r>
  <r>
    <x v="0"/>
    <s v="She"/>
    <n v="0.13"/>
    <x v="16"/>
    <x v="1"/>
    <x v="0"/>
  </r>
  <r>
    <x v="0"/>
    <s v="She"/>
    <n v="0.13"/>
    <x v="74"/>
    <x v="1"/>
    <x v="0"/>
  </r>
  <r>
    <x v="0"/>
    <s v="She"/>
    <n v="0.13"/>
    <x v="75"/>
    <x v="12"/>
    <x v="0"/>
  </r>
  <r>
    <x v="0"/>
    <s v="She"/>
    <n v="0.13"/>
    <x v="83"/>
    <x v="8"/>
    <x v="0"/>
  </r>
  <r>
    <x v="0"/>
    <s v="She"/>
    <n v="0.12"/>
    <x v="42"/>
    <x v="6"/>
    <x v="0"/>
  </r>
  <r>
    <x v="0"/>
    <s v="She"/>
    <n v="0.1"/>
    <x v="93"/>
    <x v="6"/>
    <x v="0"/>
  </r>
  <r>
    <x v="1"/>
    <s v="He"/>
    <n v="0.31"/>
    <x v="3"/>
    <x v="2"/>
    <x v="0"/>
  </r>
  <r>
    <x v="1"/>
    <s v="He"/>
    <n v="0.28999999999999998"/>
    <x v="1"/>
    <x v="1"/>
    <x v="0"/>
  </r>
  <r>
    <x v="1"/>
    <s v="He"/>
    <n v="0.27"/>
    <x v="0"/>
    <x v="0"/>
    <x v="0"/>
  </r>
  <r>
    <x v="1"/>
    <s v="He"/>
    <n v="0.26"/>
    <x v="10"/>
    <x v="0"/>
    <x v="0"/>
  </r>
  <r>
    <x v="1"/>
    <s v="He"/>
    <n v="0.25"/>
    <x v="23"/>
    <x v="11"/>
    <x v="0"/>
  </r>
  <r>
    <x v="1"/>
    <s v="He"/>
    <n v="0.24"/>
    <x v="12"/>
    <x v="9"/>
    <x v="0"/>
  </r>
  <r>
    <x v="1"/>
    <s v="He"/>
    <n v="0.24"/>
    <x v="81"/>
    <x v="6"/>
    <x v="0"/>
  </r>
  <r>
    <x v="1"/>
    <s v="He"/>
    <n v="0.24"/>
    <x v="20"/>
    <x v="4"/>
    <x v="0"/>
  </r>
  <r>
    <x v="1"/>
    <s v="He"/>
    <n v="0.23"/>
    <x v="9"/>
    <x v="7"/>
    <x v="0"/>
  </r>
  <r>
    <x v="1"/>
    <s v="He"/>
    <n v="0.23"/>
    <x v="46"/>
    <x v="4"/>
    <x v="0"/>
  </r>
  <r>
    <x v="1"/>
    <s v="He"/>
    <n v="0.22"/>
    <x v="7"/>
    <x v="5"/>
    <x v="0"/>
  </r>
  <r>
    <x v="1"/>
    <s v="He"/>
    <n v="0.22"/>
    <x v="28"/>
    <x v="5"/>
    <x v="0"/>
  </r>
  <r>
    <x v="1"/>
    <s v="He"/>
    <n v="0.22"/>
    <x v="94"/>
    <x v="6"/>
    <x v="0"/>
  </r>
  <r>
    <x v="1"/>
    <s v="He"/>
    <n v="0.22"/>
    <x v="54"/>
    <x v="4"/>
    <x v="0"/>
  </r>
  <r>
    <x v="1"/>
    <s v="He"/>
    <n v="0.21"/>
    <x v="13"/>
    <x v="10"/>
    <x v="0"/>
  </r>
  <r>
    <x v="1"/>
    <s v="He"/>
    <n v="0.21"/>
    <x v="21"/>
    <x v="0"/>
    <x v="0"/>
  </r>
  <r>
    <x v="1"/>
    <s v="He"/>
    <n v="0.21"/>
    <x v="88"/>
    <x v="11"/>
    <x v="0"/>
  </r>
  <r>
    <x v="1"/>
    <s v="He"/>
    <n v="0.21"/>
    <x v="19"/>
    <x v="0"/>
    <x v="0"/>
  </r>
  <r>
    <x v="1"/>
    <s v="He"/>
    <n v="0.2"/>
    <x v="69"/>
    <x v="9"/>
    <x v="0"/>
  </r>
  <r>
    <x v="1"/>
    <s v="He"/>
    <n v="0.2"/>
    <x v="59"/>
    <x v="9"/>
    <x v="0"/>
  </r>
  <r>
    <x v="1"/>
    <s v="He"/>
    <n v="0.2"/>
    <x v="25"/>
    <x v="0"/>
    <x v="0"/>
  </r>
  <r>
    <x v="1"/>
    <s v="He"/>
    <n v="0.2"/>
    <x v="31"/>
    <x v="4"/>
    <x v="0"/>
  </r>
  <r>
    <x v="1"/>
    <s v="He"/>
    <n v="0.2"/>
    <x v="82"/>
    <x v="9"/>
    <x v="0"/>
  </r>
  <r>
    <x v="1"/>
    <s v="He"/>
    <n v="0.2"/>
    <x v="37"/>
    <x v="3"/>
    <x v="0"/>
  </r>
  <r>
    <x v="1"/>
    <s v="He"/>
    <n v="0.2"/>
    <x v="43"/>
    <x v="2"/>
    <x v="0"/>
  </r>
  <r>
    <x v="1"/>
    <s v="He"/>
    <n v="0.2"/>
    <x v="17"/>
    <x v="8"/>
    <x v="0"/>
  </r>
  <r>
    <x v="1"/>
    <s v="He"/>
    <n v="0.19"/>
    <x v="15"/>
    <x v="9"/>
    <x v="0"/>
  </r>
  <r>
    <x v="1"/>
    <s v="He"/>
    <n v="0.19"/>
    <x v="76"/>
    <x v="1"/>
    <x v="0"/>
  </r>
  <r>
    <x v="1"/>
    <s v="He"/>
    <n v="0.19"/>
    <x v="85"/>
    <x v="9"/>
    <x v="0"/>
  </r>
  <r>
    <x v="1"/>
    <s v="He"/>
    <n v="0.19"/>
    <x v="40"/>
    <x v="3"/>
    <x v="0"/>
  </r>
  <r>
    <x v="1"/>
    <s v="He"/>
    <n v="0.19"/>
    <x v="36"/>
    <x v="6"/>
    <x v="0"/>
  </r>
  <r>
    <x v="1"/>
    <s v="He"/>
    <n v="0.19"/>
    <x v="90"/>
    <x v="11"/>
    <x v="0"/>
  </r>
  <r>
    <x v="1"/>
    <s v="He"/>
    <n v="0.19"/>
    <x v="11"/>
    <x v="8"/>
    <x v="0"/>
  </r>
  <r>
    <x v="1"/>
    <s v="He"/>
    <n v="0.19"/>
    <x v="45"/>
    <x v="3"/>
    <x v="0"/>
  </r>
  <r>
    <x v="1"/>
    <s v="He"/>
    <n v="0.19"/>
    <x v="64"/>
    <x v="6"/>
    <x v="0"/>
  </r>
  <r>
    <x v="1"/>
    <s v="He"/>
    <n v="0.19"/>
    <x v="35"/>
    <x v="7"/>
    <x v="0"/>
  </r>
  <r>
    <x v="1"/>
    <s v="He"/>
    <n v="0.19"/>
    <x v="38"/>
    <x v="3"/>
    <x v="0"/>
  </r>
  <r>
    <x v="1"/>
    <s v="He"/>
    <n v="0.19"/>
    <x v="56"/>
    <x v="9"/>
    <x v="0"/>
  </r>
  <r>
    <x v="1"/>
    <s v="He"/>
    <n v="0.19"/>
    <x v="65"/>
    <x v="1"/>
    <x v="0"/>
  </r>
  <r>
    <x v="1"/>
    <s v="He"/>
    <n v="0.19"/>
    <x v="39"/>
    <x v="11"/>
    <x v="0"/>
  </r>
  <r>
    <x v="1"/>
    <s v="He"/>
    <n v="0.18"/>
    <x v="72"/>
    <x v="14"/>
    <x v="0"/>
  </r>
  <r>
    <x v="1"/>
    <s v="He"/>
    <n v="0.18"/>
    <x v="47"/>
    <x v="3"/>
    <x v="0"/>
  </r>
  <r>
    <x v="1"/>
    <s v="He"/>
    <n v="0.18"/>
    <x v="8"/>
    <x v="6"/>
    <x v="0"/>
  </r>
  <r>
    <x v="1"/>
    <s v="He"/>
    <n v="0.18"/>
    <x v="5"/>
    <x v="4"/>
    <x v="0"/>
  </r>
  <r>
    <x v="1"/>
    <s v="He"/>
    <n v="0.18"/>
    <x v="91"/>
    <x v="6"/>
    <x v="0"/>
  </r>
  <r>
    <x v="1"/>
    <s v="He"/>
    <n v="0.18"/>
    <x v="99"/>
    <x v="3"/>
    <x v="0"/>
  </r>
  <r>
    <x v="1"/>
    <s v="He"/>
    <n v="0.18"/>
    <x v="63"/>
    <x v="9"/>
    <x v="0"/>
  </r>
  <r>
    <x v="1"/>
    <s v="He"/>
    <n v="0.18"/>
    <x v="87"/>
    <x v="9"/>
    <x v="0"/>
  </r>
  <r>
    <x v="1"/>
    <s v="He"/>
    <n v="0.17"/>
    <x v="34"/>
    <x v="3"/>
    <x v="0"/>
  </r>
  <r>
    <x v="1"/>
    <s v="He"/>
    <n v="0.17"/>
    <x v="60"/>
    <x v="6"/>
    <x v="0"/>
  </r>
  <r>
    <x v="1"/>
    <s v="He"/>
    <n v="0.17"/>
    <x v="48"/>
    <x v="13"/>
    <x v="0"/>
  </r>
  <r>
    <x v="1"/>
    <s v="He"/>
    <n v="0.17"/>
    <x v="27"/>
    <x v="6"/>
    <x v="0"/>
  </r>
  <r>
    <x v="1"/>
    <s v="He"/>
    <n v="0.17"/>
    <x v="30"/>
    <x v="6"/>
    <x v="0"/>
  </r>
  <r>
    <x v="1"/>
    <s v="He"/>
    <n v="0.17"/>
    <x v="18"/>
    <x v="11"/>
    <x v="0"/>
  </r>
  <r>
    <x v="1"/>
    <s v="He"/>
    <n v="0.17"/>
    <x v="55"/>
    <x v="14"/>
    <x v="0"/>
  </r>
  <r>
    <x v="1"/>
    <s v="He"/>
    <n v="0.17"/>
    <x v="33"/>
    <x v="12"/>
    <x v="0"/>
  </r>
  <r>
    <x v="1"/>
    <s v="He"/>
    <n v="0.17"/>
    <x v="53"/>
    <x v="9"/>
    <x v="0"/>
  </r>
  <r>
    <x v="1"/>
    <s v="He"/>
    <n v="0.17"/>
    <x v="24"/>
    <x v="6"/>
    <x v="0"/>
  </r>
  <r>
    <x v="1"/>
    <s v="He"/>
    <n v="0.17"/>
    <x v="41"/>
    <x v="7"/>
    <x v="0"/>
  </r>
  <r>
    <x v="1"/>
    <s v="He"/>
    <n v="0.17"/>
    <x v="66"/>
    <x v="13"/>
    <x v="0"/>
  </r>
  <r>
    <x v="1"/>
    <s v="He"/>
    <n v="0.16"/>
    <x v="73"/>
    <x v="2"/>
    <x v="0"/>
  </r>
  <r>
    <x v="1"/>
    <s v="He"/>
    <n v="0.16"/>
    <x v="74"/>
    <x v="1"/>
    <x v="0"/>
  </r>
  <r>
    <x v="1"/>
    <s v="He"/>
    <n v="0.16"/>
    <x v="50"/>
    <x v="12"/>
    <x v="0"/>
  </r>
  <r>
    <x v="1"/>
    <s v="He"/>
    <n v="0.16"/>
    <x v="44"/>
    <x v="6"/>
    <x v="0"/>
  </r>
  <r>
    <x v="1"/>
    <s v="He"/>
    <n v="0.16"/>
    <x v="96"/>
    <x v="11"/>
    <x v="0"/>
  </r>
  <r>
    <x v="1"/>
    <s v="He"/>
    <n v="0.16"/>
    <x v="6"/>
    <x v="3"/>
    <x v="0"/>
  </r>
  <r>
    <x v="1"/>
    <s v="He"/>
    <n v="0.16"/>
    <x v="29"/>
    <x v="4"/>
    <x v="0"/>
  </r>
  <r>
    <x v="1"/>
    <s v="He"/>
    <n v="0.16"/>
    <x v="51"/>
    <x v="5"/>
    <x v="0"/>
  </r>
  <r>
    <x v="1"/>
    <s v="He"/>
    <n v="0.16"/>
    <x v="71"/>
    <x v="6"/>
    <x v="0"/>
  </r>
  <r>
    <x v="1"/>
    <s v="He"/>
    <n v="0.16"/>
    <x v="32"/>
    <x v="3"/>
    <x v="0"/>
  </r>
  <r>
    <x v="1"/>
    <s v="He"/>
    <n v="0.16"/>
    <x v="83"/>
    <x v="8"/>
    <x v="0"/>
  </r>
  <r>
    <x v="1"/>
    <s v="He"/>
    <n v="0.15"/>
    <x v="42"/>
    <x v="6"/>
    <x v="0"/>
  </r>
  <r>
    <x v="1"/>
    <s v="He"/>
    <n v="0.15"/>
    <x v="67"/>
    <x v="6"/>
    <x v="0"/>
  </r>
  <r>
    <x v="1"/>
    <s v="He"/>
    <n v="0.15"/>
    <x v="89"/>
    <x v="2"/>
    <x v="0"/>
  </r>
  <r>
    <x v="1"/>
    <s v="He"/>
    <n v="0.15"/>
    <x v="98"/>
    <x v="13"/>
    <x v="0"/>
  </r>
  <r>
    <x v="1"/>
    <s v="He"/>
    <n v="0.15"/>
    <x v="26"/>
    <x v="6"/>
    <x v="0"/>
  </r>
  <r>
    <x v="1"/>
    <s v="He"/>
    <n v="0.15"/>
    <x v="61"/>
    <x v="11"/>
    <x v="0"/>
  </r>
  <r>
    <x v="1"/>
    <s v="He"/>
    <n v="0.15"/>
    <x v="77"/>
    <x v="2"/>
    <x v="0"/>
  </r>
  <r>
    <x v="1"/>
    <s v="He"/>
    <n v="0.15"/>
    <x v="80"/>
    <x v="1"/>
    <x v="0"/>
  </r>
  <r>
    <x v="1"/>
    <s v="He"/>
    <n v="0.15"/>
    <x v="58"/>
    <x v="12"/>
    <x v="0"/>
  </r>
  <r>
    <x v="1"/>
    <s v="He"/>
    <n v="0.15"/>
    <x v="2"/>
    <x v="1"/>
    <x v="0"/>
  </r>
  <r>
    <x v="1"/>
    <s v="He"/>
    <n v="0.14000000000000001"/>
    <x v="52"/>
    <x v="6"/>
    <x v="0"/>
  </r>
  <r>
    <x v="1"/>
    <s v="He"/>
    <n v="0.14000000000000001"/>
    <x v="70"/>
    <x v="3"/>
    <x v="0"/>
  </r>
  <r>
    <x v="1"/>
    <s v="He"/>
    <n v="0.14000000000000001"/>
    <x v="68"/>
    <x v="6"/>
    <x v="0"/>
  </r>
  <r>
    <x v="1"/>
    <s v="He"/>
    <n v="0.14000000000000001"/>
    <x v="14"/>
    <x v="9"/>
    <x v="0"/>
  </r>
  <r>
    <x v="1"/>
    <s v="He"/>
    <n v="0.14000000000000001"/>
    <x v="4"/>
    <x v="3"/>
    <x v="0"/>
  </r>
  <r>
    <x v="1"/>
    <s v="He"/>
    <n v="0.14000000000000001"/>
    <x v="78"/>
    <x v="6"/>
    <x v="0"/>
  </r>
  <r>
    <x v="1"/>
    <s v="He"/>
    <n v="0.14000000000000001"/>
    <x v="97"/>
    <x v="3"/>
    <x v="0"/>
  </r>
  <r>
    <x v="1"/>
    <s v="He"/>
    <n v="0.14000000000000001"/>
    <x v="84"/>
    <x v="3"/>
    <x v="0"/>
  </r>
  <r>
    <x v="1"/>
    <s v="He"/>
    <n v="0.14000000000000001"/>
    <x v="49"/>
    <x v="3"/>
    <x v="0"/>
  </r>
  <r>
    <x v="1"/>
    <s v="He"/>
    <n v="0.13"/>
    <x v="57"/>
    <x v="6"/>
    <x v="0"/>
  </r>
  <r>
    <x v="1"/>
    <s v="He"/>
    <n v="0.13"/>
    <x v="22"/>
    <x v="3"/>
    <x v="0"/>
  </r>
  <r>
    <x v="1"/>
    <s v="He"/>
    <n v="0.13"/>
    <x v="95"/>
    <x v="13"/>
    <x v="0"/>
  </r>
  <r>
    <x v="1"/>
    <s v="He"/>
    <n v="0.13"/>
    <x v="79"/>
    <x v="10"/>
    <x v="0"/>
  </r>
  <r>
    <x v="1"/>
    <s v="He"/>
    <n v="0.12"/>
    <x v="62"/>
    <x v="3"/>
    <x v="0"/>
  </r>
  <r>
    <x v="1"/>
    <s v="He"/>
    <n v="0.12"/>
    <x v="93"/>
    <x v="6"/>
    <x v="0"/>
  </r>
  <r>
    <x v="1"/>
    <s v="He"/>
    <n v="0.12"/>
    <x v="16"/>
    <x v="1"/>
    <x v="0"/>
  </r>
  <r>
    <x v="1"/>
    <s v="He"/>
    <n v="0.11"/>
    <x v="75"/>
    <x v="12"/>
    <x v="0"/>
  </r>
  <r>
    <x v="1"/>
    <s v="He"/>
    <n v="0.1"/>
    <x v="92"/>
    <x v="10"/>
    <x v="0"/>
  </r>
  <r>
    <x v="1"/>
    <s v="He"/>
    <n v="0.09"/>
    <x v="86"/>
    <x v="12"/>
    <x v="0"/>
  </r>
  <r>
    <x v="1"/>
    <s v="His"/>
    <n v="0.27"/>
    <x v="1"/>
    <x v="1"/>
    <x v="0"/>
  </r>
  <r>
    <x v="1"/>
    <s v="His"/>
    <n v="0.27"/>
    <x v="3"/>
    <x v="2"/>
    <x v="0"/>
  </r>
  <r>
    <x v="1"/>
    <s v="His"/>
    <n v="0.24"/>
    <x v="0"/>
    <x v="0"/>
    <x v="0"/>
  </r>
  <r>
    <x v="1"/>
    <s v="His"/>
    <n v="0.23"/>
    <x v="12"/>
    <x v="9"/>
    <x v="0"/>
  </r>
  <r>
    <x v="1"/>
    <s v="His"/>
    <n v="0.22"/>
    <x v="15"/>
    <x v="9"/>
    <x v="0"/>
  </r>
  <r>
    <x v="1"/>
    <s v="His"/>
    <n v="0.21"/>
    <x v="9"/>
    <x v="7"/>
    <x v="0"/>
  </r>
  <r>
    <x v="1"/>
    <s v="His"/>
    <n v="0.2"/>
    <x v="18"/>
    <x v="11"/>
    <x v="0"/>
  </r>
  <r>
    <x v="1"/>
    <s v="His"/>
    <n v="0.2"/>
    <x v="82"/>
    <x v="9"/>
    <x v="0"/>
  </r>
  <r>
    <x v="1"/>
    <s v="His"/>
    <n v="0.2"/>
    <x v="72"/>
    <x v="14"/>
    <x v="0"/>
  </r>
  <r>
    <x v="1"/>
    <s v="His"/>
    <n v="0.2"/>
    <x v="43"/>
    <x v="2"/>
    <x v="0"/>
  </r>
  <r>
    <x v="1"/>
    <s v="His"/>
    <n v="0.2"/>
    <x v="23"/>
    <x v="11"/>
    <x v="0"/>
  </r>
  <r>
    <x v="1"/>
    <s v="His"/>
    <n v="0.2"/>
    <x v="46"/>
    <x v="4"/>
    <x v="0"/>
  </r>
  <r>
    <x v="1"/>
    <s v="His"/>
    <n v="0.19"/>
    <x v="20"/>
    <x v="4"/>
    <x v="0"/>
  </r>
  <r>
    <x v="1"/>
    <s v="His"/>
    <n v="0.19"/>
    <x v="31"/>
    <x v="4"/>
    <x v="0"/>
  </r>
  <r>
    <x v="1"/>
    <s v="His"/>
    <n v="0.19"/>
    <x v="53"/>
    <x v="9"/>
    <x v="0"/>
  </r>
  <r>
    <x v="1"/>
    <s v="His"/>
    <n v="0.18"/>
    <x v="16"/>
    <x v="1"/>
    <x v="0"/>
  </r>
  <r>
    <x v="1"/>
    <s v="His"/>
    <n v="0.18"/>
    <x v="35"/>
    <x v="7"/>
    <x v="0"/>
  </r>
  <r>
    <x v="1"/>
    <s v="His"/>
    <n v="0.18"/>
    <x v="59"/>
    <x v="9"/>
    <x v="0"/>
  </r>
  <r>
    <x v="1"/>
    <s v="His"/>
    <n v="0.18"/>
    <x v="33"/>
    <x v="12"/>
    <x v="0"/>
  </r>
  <r>
    <x v="1"/>
    <s v="His"/>
    <n v="0.18"/>
    <x v="13"/>
    <x v="10"/>
    <x v="0"/>
  </r>
  <r>
    <x v="1"/>
    <s v="His"/>
    <n v="0.18"/>
    <x v="19"/>
    <x v="0"/>
    <x v="0"/>
  </r>
  <r>
    <x v="1"/>
    <s v="His"/>
    <n v="0.18"/>
    <x v="10"/>
    <x v="0"/>
    <x v="0"/>
  </r>
  <r>
    <x v="1"/>
    <s v="His"/>
    <n v="0.18"/>
    <x v="21"/>
    <x v="0"/>
    <x v="0"/>
  </r>
  <r>
    <x v="1"/>
    <s v="His"/>
    <n v="0.17"/>
    <x v="81"/>
    <x v="6"/>
    <x v="0"/>
  </r>
  <r>
    <x v="1"/>
    <s v="His"/>
    <n v="0.17"/>
    <x v="28"/>
    <x v="5"/>
    <x v="0"/>
  </r>
  <r>
    <x v="1"/>
    <s v="His"/>
    <n v="0.17"/>
    <x v="90"/>
    <x v="11"/>
    <x v="0"/>
  </r>
  <r>
    <x v="1"/>
    <s v="His"/>
    <n v="0.17"/>
    <x v="48"/>
    <x v="13"/>
    <x v="0"/>
  </r>
  <r>
    <x v="1"/>
    <s v="His"/>
    <n v="0.17"/>
    <x v="7"/>
    <x v="5"/>
    <x v="0"/>
  </r>
  <r>
    <x v="1"/>
    <s v="His"/>
    <n v="0.17"/>
    <x v="38"/>
    <x v="3"/>
    <x v="0"/>
  </r>
  <r>
    <x v="1"/>
    <s v="His"/>
    <n v="0.17"/>
    <x v="37"/>
    <x v="3"/>
    <x v="0"/>
  </r>
  <r>
    <x v="1"/>
    <s v="His"/>
    <n v="0.17"/>
    <x v="55"/>
    <x v="14"/>
    <x v="0"/>
  </r>
  <r>
    <x v="1"/>
    <s v="His"/>
    <n v="0.17"/>
    <x v="56"/>
    <x v="9"/>
    <x v="0"/>
  </r>
  <r>
    <x v="1"/>
    <s v="His"/>
    <n v="0.17"/>
    <x v="17"/>
    <x v="8"/>
    <x v="0"/>
  </r>
  <r>
    <x v="1"/>
    <s v="His"/>
    <n v="0.17"/>
    <x v="40"/>
    <x v="3"/>
    <x v="0"/>
  </r>
  <r>
    <x v="1"/>
    <s v="His"/>
    <n v="0.17"/>
    <x v="69"/>
    <x v="9"/>
    <x v="0"/>
  </r>
  <r>
    <x v="1"/>
    <s v="His"/>
    <n v="0.16"/>
    <x v="54"/>
    <x v="4"/>
    <x v="0"/>
  </r>
  <r>
    <x v="1"/>
    <s v="His"/>
    <n v="0.16"/>
    <x v="25"/>
    <x v="0"/>
    <x v="0"/>
  </r>
  <r>
    <x v="1"/>
    <s v="His"/>
    <n v="0.16"/>
    <x v="22"/>
    <x v="3"/>
    <x v="0"/>
  </r>
  <r>
    <x v="1"/>
    <s v="His"/>
    <n v="0.16"/>
    <x v="64"/>
    <x v="6"/>
    <x v="0"/>
  </r>
  <r>
    <x v="1"/>
    <s v="His"/>
    <n v="0.16"/>
    <x v="26"/>
    <x v="6"/>
    <x v="0"/>
  </r>
  <r>
    <x v="1"/>
    <s v="His"/>
    <n v="0.16"/>
    <x v="87"/>
    <x v="9"/>
    <x v="0"/>
  </r>
  <r>
    <x v="1"/>
    <s v="His"/>
    <n v="0.16"/>
    <x v="61"/>
    <x v="11"/>
    <x v="0"/>
  </r>
  <r>
    <x v="1"/>
    <s v="His"/>
    <n v="0.16"/>
    <x v="45"/>
    <x v="3"/>
    <x v="0"/>
  </r>
  <r>
    <x v="1"/>
    <s v="His"/>
    <n v="0.16"/>
    <x v="39"/>
    <x v="11"/>
    <x v="0"/>
  </r>
  <r>
    <x v="1"/>
    <s v="His"/>
    <n v="0.16"/>
    <x v="88"/>
    <x v="11"/>
    <x v="0"/>
  </r>
  <r>
    <x v="1"/>
    <s v="His"/>
    <n v="0.16"/>
    <x v="11"/>
    <x v="8"/>
    <x v="0"/>
  </r>
  <r>
    <x v="1"/>
    <s v="His"/>
    <n v="0.16"/>
    <x v="73"/>
    <x v="2"/>
    <x v="0"/>
  </r>
  <r>
    <x v="1"/>
    <s v="His"/>
    <n v="0.16"/>
    <x v="91"/>
    <x v="6"/>
    <x v="0"/>
  </r>
  <r>
    <x v="1"/>
    <s v="His"/>
    <n v="0.16"/>
    <x v="76"/>
    <x v="1"/>
    <x v="0"/>
  </r>
  <r>
    <x v="1"/>
    <s v="His"/>
    <n v="0.15"/>
    <x v="47"/>
    <x v="3"/>
    <x v="0"/>
  </r>
  <r>
    <x v="1"/>
    <s v="His"/>
    <n v="0.15"/>
    <x v="94"/>
    <x v="6"/>
    <x v="0"/>
  </r>
  <r>
    <x v="1"/>
    <s v="His"/>
    <n v="0.15"/>
    <x v="8"/>
    <x v="6"/>
    <x v="0"/>
  </r>
  <r>
    <x v="1"/>
    <s v="His"/>
    <n v="0.15"/>
    <x v="80"/>
    <x v="1"/>
    <x v="0"/>
  </r>
  <r>
    <x v="1"/>
    <s v="His"/>
    <n v="0.15"/>
    <x v="2"/>
    <x v="1"/>
    <x v="0"/>
  </r>
  <r>
    <x v="1"/>
    <s v="His"/>
    <n v="0.15"/>
    <x v="97"/>
    <x v="3"/>
    <x v="0"/>
  </r>
  <r>
    <x v="1"/>
    <s v="His"/>
    <n v="0.15"/>
    <x v="63"/>
    <x v="9"/>
    <x v="0"/>
  </r>
  <r>
    <x v="1"/>
    <s v="His"/>
    <n v="0.15"/>
    <x v="36"/>
    <x v="6"/>
    <x v="0"/>
  </r>
  <r>
    <x v="1"/>
    <s v="His"/>
    <n v="0.15"/>
    <x v="62"/>
    <x v="3"/>
    <x v="0"/>
  </r>
  <r>
    <x v="1"/>
    <s v="His"/>
    <n v="0.15"/>
    <x v="96"/>
    <x v="11"/>
    <x v="0"/>
  </r>
  <r>
    <x v="1"/>
    <s v="His"/>
    <n v="0.15"/>
    <x v="34"/>
    <x v="3"/>
    <x v="0"/>
  </r>
  <r>
    <x v="1"/>
    <s v="His"/>
    <n v="0.15"/>
    <x v="67"/>
    <x v="6"/>
    <x v="0"/>
  </r>
  <r>
    <x v="1"/>
    <s v="His"/>
    <n v="0.15"/>
    <x v="29"/>
    <x v="4"/>
    <x v="0"/>
  </r>
  <r>
    <x v="1"/>
    <s v="His"/>
    <n v="0.15"/>
    <x v="58"/>
    <x v="12"/>
    <x v="0"/>
  </r>
  <r>
    <x v="1"/>
    <s v="His"/>
    <n v="0.15"/>
    <x v="65"/>
    <x v="1"/>
    <x v="0"/>
  </r>
  <r>
    <x v="1"/>
    <s v="His"/>
    <n v="0.15"/>
    <x v="14"/>
    <x v="9"/>
    <x v="0"/>
  </r>
  <r>
    <x v="1"/>
    <s v="His"/>
    <n v="0.14000000000000001"/>
    <x v="5"/>
    <x v="4"/>
    <x v="0"/>
  </r>
  <r>
    <x v="1"/>
    <s v="His"/>
    <n v="0.14000000000000001"/>
    <x v="99"/>
    <x v="3"/>
    <x v="0"/>
  </r>
  <r>
    <x v="1"/>
    <s v="His"/>
    <n v="0.14000000000000001"/>
    <x v="41"/>
    <x v="7"/>
    <x v="0"/>
  </r>
  <r>
    <x v="1"/>
    <s v="His"/>
    <n v="0.14000000000000001"/>
    <x v="50"/>
    <x v="12"/>
    <x v="0"/>
  </r>
  <r>
    <x v="1"/>
    <s v="His"/>
    <n v="0.14000000000000001"/>
    <x v="98"/>
    <x v="13"/>
    <x v="0"/>
  </r>
  <r>
    <x v="1"/>
    <s v="His"/>
    <n v="0.14000000000000001"/>
    <x v="85"/>
    <x v="9"/>
    <x v="0"/>
  </r>
  <r>
    <x v="1"/>
    <s v="His"/>
    <n v="0.14000000000000001"/>
    <x v="89"/>
    <x v="2"/>
    <x v="0"/>
  </r>
  <r>
    <x v="1"/>
    <s v="His"/>
    <n v="0.14000000000000001"/>
    <x v="30"/>
    <x v="6"/>
    <x v="0"/>
  </r>
  <r>
    <x v="1"/>
    <s v="His"/>
    <n v="0.14000000000000001"/>
    <x v="83"/>
    <x v="8"/>
    <x v="0"/>
  </r>
  <r>
    <x v="1"/>
    <s v="His"/>
    <n v="0.14000000000000001"/>
    <x v="75"/>
    <x v="12"/>
    <x v="0"/>
  </r>
  <r>
    <x v="1"/>
    <s v="His"/>
    <n v="0.13"/>
    <x v="77"/>
    <x v="2"/>
    <x v="0"/>
  </r>
  <r>
    <x v="1"/>
    <s v="His"/>
    <n v="0.13"/>
    <x v="78"/>
    <x v="6"/>
    <x v="0"/>
  </r>
  <r>
    <x v="1"/>
    <s v="His"/>
    <n v="0.13"/>
    <x v="68"/>
    <x v="6"/>
    <x v="0"/>
  </r>
  <r>
    <x v="1"/>
    <s v="His"/>
    <n v="0.13"/>
    <x v="51"/>
    <x v="5"/>
    <x v="0"/>
  </r>
  <r>
    <x v="1"/>
    <s v="His"/>
    <n v="0.13"/>
    <x v="92"/>
    <x v="10"/>
    <x v="0"/>
  </r>
  <r>
    <x v="1"/>
    <s v="His"/>
    <n v="0.13"/>
    <x v="6"/>
    <x v="3"/>
    <x v="0"/>
  </r>
  <r>
    <x v="1"/>
    <s v="His"/>
    <n v="0.13"/>
    <x v="66"/>
    <x v="13"/>
    <x v="0"/>
  </r>
  <r>
    <x v="1"/>
    <s v="His"/>
    <n v="0.13"/>
    <x v="32"/>
    <x v="3"/>
    <x v="0"/>
  </r>
  <r>
    <x v="1"/>
    <s v="His"/>
    <n v="0.13"/>
    <x v="52"/>
    <x v="6"/>
    <x v="0"/>
  </r>
  <r>
    <x v="1"/>
    <s v="His"/>
    <n v="0.13"/>
    <x v="70"/>
    <x v="3"/>
    <x v="0"/>
  </r>
  <r>
    <x v="1"/>
    <s v="His"/>
    <n v="0.13"/>
    <x v="4"/>
    <x v="3"/>
    <x v="0"/>
  </r>
  <r>
    <x v="1"/>
    <s v="His"/>
    <n v="0.13"/>
    <x v="79"/>
    <x v="10"/>
    <x v="0"/>
  </r>
  <r>
    <x v="1"/>
    <s v="His"/>
    <n v="0.13"/>
    <x v="24"/>
    <x v="6"/>
    <x v="0"/>
  </r>
  <r>
    <x v="1"/>
    <s v="His"/>
    <n v="0.13"/>
    <x v="93"/>
    <x v="6"/>
    <x v="0"/>
  </r>
  <r>
    <x v="1"/>
    <s v="His"/>
    <n v="0.12"/>
    <x v="74"/>
    <x v="1"/>
    <x v="0"/>
  </r>
  <r>
    <x v="1"/>
    <s v="His"/>
    <n v="0.12"/>
    <x v="42"/>
    <x v="6"/>
    <x v="0"/>
  </r>
  <r>
    <x v="1"/>
    <s v="His"/>
    <n v="0.12"/>
    <x v="86"/>
    <x v="12"/>
    <x v="0"/>
  </r>
  <r>
    <x v="1"/>
    <s v="His"/>
    <n v="0.12"/>
    <x v="84"/>
    <x v="3"/>
    <x v="0"/>
  </r>
  <r>
    <x v="1"/>
    <s v="His"/>
    <n v="0.12"/>
    <x v="95"/>
    <x v="13"/>
    <x v="0"/>
  </r>
  <r>
    <x v="1"/>
    <s v="His"/>
    <n v="0.12"/>
    <x v="60"/>
    <x v="6"/>
    <x v="0"/>
  </r>
  <r>
    <x v="1"/>
    <s v="His"/>
    <n v="0.12"/>
    <x v="57"/>
    <x v="6"/>
    <x v="0"/>
  </r>
  <r>
    <x v="1"/>
    <s v="His"/>
    <n v="0.11"/>
    <x v="27"/>
    <x v="6"/>
    <x v="0"/>
  </r>
  <r>
    <x v="1"/>
    <s v="His"/>
    <n v="0.1"/>
    <x v="44"/>
    <x v="6"/>
    <x v="0"/>
  </r>
  <r>
    <x v="1"/>
    <s v="His"/>
    <n v="0.09"/>
    <x v="71"/>
    <x v="6"/>
    <x v="0"/>
  </r>
  <r>
    <x v="1"/>
    <s v="His"/>
    <n v="0.09"/>
    <x v="49"/>
    <x v="3"/>
    <x v="0"/>
  </r>
  <r>
    <x v="0"/>
    <s v="Her"/>
    <n v="0.28999999999999998"/>
    <x v="1"/>
    <x v="1"/>
    <x v="0"/>
  </r>
  <r>
    <x v="0"/>
    <s v="Her"/>
    <n v="0.27"/>
    <x v="7"/>
    <x v="5"/>
    <x v="0"/>
  </r>
  <r>
    <x v="0"/>
    <s v="Her"/>
    <n v="0.27"/>
    <x v="46"/>
    <x v="4"/>
    <x v="0"/>
  </r>
  <r>
    <x v="0"/>
    <s v="Her"/>
    <n v="0.27"/>
    <x v="13"/>
    <x v="10"/>
    <x v="0"/>
  </r>
  <r>
    <x v="0"/>
    <s v="Her"/>
    <n v="0.26"/>
    <x v="41"/>
    <x v="7"/>
    <x v="0"/>
  </r>
  <r>
    <x v="0"/>
    <s v="Her"/>
    <n v="0.25"/>
    <x v="9"/>
    <x v="7"/>
    <x v="0"/>
  </r>
  <r>
    <x v="0"/>
    <s v="Her"/>
    <n v="0.25"/>
    <x v="20"/>
    <x v="4"/>
    <x v="0"/>
  </r>
  <r>
    <x v="0"/>
    <s v="Her"/>
    <n v="0.25"/>
    <x v="3"/>
    <x v="2"/>
    <x v="0"/>
  </r>
  <r>
    <x v="0"/>
    <s v="Her"/>
    <n v="0.25"/>
    <x v="5"/>
    <x v="4"/>
    <x v="0"/>
  </r>
  <r>
    <x v="0"/>
    <s v="Her"/>
    <n v="0.25"/>
    <x v="0"/>
    <x v="0"/>
    <x v="0"/>
  </r>
  <r>
    <x v="0"/>
    <s v="Her"/>
    <n v="0.24"/>
    <x v="10"/>
    <x v="0"/>
    <x v="0"/>
  </r>
  <r>
    <x v="0"/>
    <s v="Her"/>
    <n v="0.24"/>
    <x v="23"/>
    <x v="11"/>
    <x v="0"/>
  </r>
  <r>
    <x v="0"/>
    <s v="Her"/>
    <n v="0.23"/>
    <x v="54"/>
    <x v="4"/>
    <x v="0"/>
  </r>
  <r>
    <x v="0"/>
    <s v="Her"/>
    <n v="0.23"/>
    <x v="12"/>
    <x v="9"/>
    <x v="0"/>
  </r>
  <r>
    <x v="0"/>
    <s v="Her"/>
    <n v="0.23"/>
    <x v="49"/>
    <x v="3"/>
    <x v="0"/>
  </r>
  <r>
    <x v="0"/>
    <s v="Her"/>
    <n v="0.22"/>
    <x v="94"/>
    <x v="6"/>
    <x v="0"/>
  </r>
  <r>
    <x v="0"/>
    <s v="Her"/>
    <n v="0.22"/>
    <x v="28"/>
    <x v="5"/>
    <x v="0"/>
  </r>
  <r>
    <x v="0"/>
    <s v="Her"/>
    <n v="0.22"/>
    <x v="22"/>
    <x v="3"/>
    <x v="0"/>
  </r>
  <r>
    <x v="0"/>
    <s v="Her"/>
    <n v="0.22"/>
    <x v="45"/>
    <x v="3"/>
    <x v="0"/>
  </r>
  <r>
    <x v="0"/>
    <s v="Her"/>
    <n v="0.22"/>
    <x v="35"/>
    <x v="7"/>
    <x v="0"/>
  </r>
  <r>
    <x v="0"/>
    <s v="Her"/>
    <n v="0.21"/>
    <x v="59"/>
    <x v="9"/>
    <x v="0"/>
  </r>
  <r>
    <x v="0"/>
    <s v="Her"/>
    <n v="0.21"/>
    <x v="72"/>
    <x v="14"/>
    <x v="0"/>
  </r>
  <r>
    <x v="0"/>
    <s v="Her"/>
    <n v="0.21"/>
    <x v="37"/>
    <x v="3"/>
    <x v="0"/>
  </r>
  <r>
    <x v="0"/>
    <s v="Her"/>
    <n v="0.21"/>
    <x v="29"/>
    <x v="4"/>
    <x v="0"/>
  </r>
  <r>
    <x v="0"/>
    <s v="Her"/>
    <n v="0.21"/>
    <x v="24"/>
    <x v="6"/>
    <x v="0"/>
  </r>
  <r>
    <x v="0"/>
    <s v="Her"/>
    <n v="0.21"/>
    <x v="47"/>
    <x v="3"/>
    <x v="0"/>
  </r>
  <r>
    <x v="0"/>
    <s v="Her"/>
    <n v="0.21"/>
    <x v="26"/>
    <x v="6"/>
    <x v="0"/>
  </r>
  <r>
    <x v="0"/>
    <s v="Her"/>
    <n v="0.21"/>
    <x v="43"/>
    <x v="2"/>
    <x v="0"/>
  </r>
  <r>
    <x v="0"/>
    <s v="Her"/>
    <n v="0.21"/>
    <x v="76"/>
    <x v="1"/>
    <x v="0"/>
  </r>
  <r>
    <x v="0"/>
    <s v="Her"/>
    <n v="0.2"/>
    <x v="6"/>
    <x v="3"/>
    <x v="0"/>
  </r>
  <r>
    <x v="0"/>
    <s v="Her"/>
    <n v="0.2"/>
    <x v="15"/>
    <x v="9"/>
    <x v="0"/>
  </r>
  <r>
    <x v="0"/>
    <s v="Her"/>
    <n v="0.2"/>
    <x v="73"/>
    <x v="2"/>
    <x v="0"/>
  </r>
  <r>
    <x v="0"/>
    <s v="Her"/>
    <n v="0.2"/>
    <x v="17"/>
    <x v="8"/>
    <x v="0"/>
  </r>
  <r>
    <x v="0"/>
    <s v="Her"/>
    <n v="0.19"/>
    <x v="36"/>
    <x v="6"/>
    <x v="0"/>
  </r>
  <r>
    <x v="0"/>
    <s v="Her"/>
    <n v="0.19"/>
    <x v="50"/>
    <x v="12"/>
    <x v="0"/>
  </r>
  <r>
    <x v="0"/>
    <s v="Her"/>
    <n v="0.19"/>
    <x v="33"/>
    <x v="12"/>
    <x v="0"/>
  </r>
  <r>
    <x v="0"/>
    <s v="Her"/>
    <n v="0.19"/>
    <x v="88"/>
    <x v="11"/>
    <x v="0"/>
  </r>
  <r>
    <x v="0"/>
    <s v="Her"/>
    <n v="0.19"/>
    <x v="21"/>
    <x v="0"/>
    <x v="0"/>
  </r>
  <r>
    <x v="0"/>
    <s v="Her"/>
    <n v="0.19"/>
    <x v="53"/>
    <x v="9"/>
    <x v="0"/>
  </r>
  <r>
    <x v="0"/>
    <s v="Her"/>
    <n v="0.18"/>
    <x v="31"/>
    <x v="4"/>
    <x v="0"/>
  </r>
  <r>
    <x v="0"/>
    <s v="Her"/>
    <n v="0.18"/>
    <x v="55"/>
    <x v="14"/>
    <x v="0"/>
  </r>
  <r>
    <x v="0"/>
    <s v="Her"/>
    <n v="0.18"/>
    <x v="97"/>
    <x v="3"/>
    <x v="0"/>
  </r>
  <r>
    <x v="0"/>
    <s v="Her"/>
    <n v="0.18"/>
    <x v="19"/>
    <x v="0"/>
    <x v="0"/>
  </r>
  <r>
    <x v="0"/>
    <s v="Her"/>
    <n v="0.18"/>
    <x v="32"/>
    <x v="3"/>
    <x v="0"/>
  </r>
  <r>
    <x v="0"/>
    <s v="Her"/>
    <n v="0.18"/>
    <x v="99"/>
    <x v="3"/>
    <x v="0"/>
  </r>
  <r>
    <x v="0"/>
    <s v="Her"/>
    <n v="0.18"/>
    <x v="66"/>
    <x v="13"/>
    <x v="0"/>
  </r>
  <r>
    <x v="0"/>
    <s v="Her"/>
    <n v="0.18"/>
    <x v="4"/>
    <x v="3"/>
    <x v="0"/>
  </r>
  <r>
    <x v="0"/>
    <s v="Her"/>
    <n v="0.18"/>
    <x v="81"/>
    <x v="6"/>
    <x v="0"/>
  </r>
  <r>
    <x v="0"/>
    <s v="Her"/>
    <n v="0.18"/>
    <x v="38"/>
    <x v="3"/>
    <x v="0"/>
  </r>
  <r>
    <x v="0"/>
    <s v="Her"/>
    <n v="0.18"/>
    <x v="74"/>
    <x v="1"/>
    <x v="0"/>
  </r>
  <r>
    <x v="0"/>
    <s v="Her"/>
    <n v="0.17"/>
    <x v="25"/>
    <x v="0"/>
    <x v="0"/>
  </r>
  <r>
    <x v="0"/>
    <s v="Her"/>
    <n v="0.17"/>
    <x v="62"/>
    <x v="3"/>
    <x v="0"/>
  </r>
  <r>
    <x v="0"/>
    <s v="Her"/>
    <n v="0.17"/>
    <x v="2"/>
    <x v="1"/>
    <x v="0"/>
  </r>
  <r>
    <x v="0"/>
    <s v="Her"/>
    <n v="0.17"/>
    <x v="82"/>
    <x v="9"/>
    <x v="0"/>
  </r>
  <r>
    <x v="0"/>
    <s v="Her"/>
    <n v="0.17"/>
    <x v="89"/>
    <x v="2"/>
    <x v="0"/>
  </r>
  <r>
    <x v="0"/>
    <s v="Her"/>
    <n v="0.17"/>
    <x v="18"/>
    <x v="11"/>
    <x v="0"/>
  </r>
  <r>
    <x v="0"/>
    <s v="Her"/>
    <n v="0.17"/>
    <x v="56"/>
    <x v="9"/>
    <x v="0"/>
  </r>
  <r>
    <x v="0"/>
    <s v="Her"/>
    <n v="0.17"/>
    <x v="58"/>
    <x v="12"/>
    <x v="0"/>
  </r>
  <r>
    <x v="0"/>
    <s v="Her"/>
    <n v="0.17"/>
    <x v="90"/>
    <x v="11"/>
    <x v="0"/>
  </r>
  <r>
    <x v="0"/>
    <s v="Her"/>
    <n v="0.17"/>
    <x v="34"/>
    <x v="3"/>
    <x v="0"/>
  </r>
  <r>
    <x v="0"/>
    <s v="Her"/>
    <n v="0.17"/>
    <x v="60"/>
    <x v="6"/>
    <x v="0"/>
  </r>
  <r>
    <x v="0"/>
    <s v="Her"/>
    <n v="0.17"/>
    <x v="40"/>
    <x v="3"/>
    <x v="0"/>
  </r>
  <r>
    <x v="0"/>
    <s v="Her"/>
    <n v="0.17"/>
    <x v="84"/>
    <x v="3"/>
    <x v="0"/>
  </r>
  <r>
    <x v="0"/>
    <s v="Her"/>
    <n v="0.17"/>
    <x v="77"/>
    <x v="2"/>
    <x v="0"/>
  </r>
  <r>
    <x v="0"/>
    <s v="Her"/>
    <n v="0.17"/>
    <x v="87"/>
    <x v="9"/>
    <x v="0"/>
  </r>
  <r>
    <x v="0"/>
    <s v="Her"/>
    <n v="0.17"/>
    <x v="91"/>
    <x v="6"/>
    <x v="0"/>
  </r>
  <r>
    <x v="0"/>
    <s v="Her"/>
    <n v="0.16"/>
    <x v="93"/>
    <x v="6"/>
    <x v="0"/>
  </r>
  <r>
    <x v="0"/>
    <s v="Her"/>
    <n v="0.16"/>
    <x v="39"/>
    <x v="11"/>
    <x v="0"/>
  </r>
  <r>
    <x v="0"/>
    <s v="Her"/>
    <n v="0.16"/>
    <x v="85"/>
    <x v="9"/>
    <x v="0"/>
  </r>
  <r>
    <x v="0"/>
    <s v="Her"/>
    <n v="0.16"/>
    <x v="61"/>
    <x v="11"/>
    <x v="0"/>
  </r>
  <r>
    <x v="0"/>
    <s v="Her"/>
    <n v="0.16"/>
    <x v="70"/>
    <x v="3"/>
    <x v="0"/>
  </r>
  <r>
    <x v="0"/>
    <s v="Her"/>
    <n v="0.16"/>
    <x v="79"/>
    <x v="10"/>
    <x v="0"/>
  </r>
  <r>
    <x v="0"/>
    <s v="Her"/>
    <n v="0.16"/>
    <x v="98"/>
    <x v="13"/>
    <x v="0"/>
  </r>
  <r>
    <x v="0"/>
    <s v="Her"/>
    <n v="0.15"/>
    <x v="80"/>
    <x v="1"/>
    <x v="0"/>
  </r>
  <r>
    <x v="0"/>
    <s v="Her"/>
    <n v="0.15"/>
    <x v="57"/>
    <x v="6"/>
    <x v="0"/>
  </r>
  <r>
    <x v="0"/>
    <s v="Her"/>
    <n v="0.15"/>
    <x v="51"/>
    <x v="5"/>
    <x v="0"/>
  </r>
  <r>
    <x v="0"/>
    <s v="Her"/>
    <n v="0.15"/>
    <x v="48"/>
    <x v="13"/>
    <x v="0"/>
  </r>
  <r>
    <x v="0"/>
    <s v="Her"/>
    <n v="0.15"/>
    <x v="78"/>
    <x v="6"/>
    <x v="0"/>
  </r>
  <r>
    <x v="0"/>
    <s v="Her"/>
    <n v="0.15"/>
    <x v="64"/>
    <x v="6"/>
    <x v="0"/>
  </r>
  <r>
    <x v="0"/>
    <s v="Her"/>
    <n v="0.15"/>
    <x v="63"/>
    <x v="9"/>
    <x v="0"/>
  </r>
  <r>
    <x v="0"/>
    <s v="Her"/>
    <n v="0.15"/>
    <x v="71"/>
    <x v="6"/>
    <x v="0"/>
  </r>
  <r>
    <x v="0"/>
    <s v="Her"/>
    <n v="0.14000000000000001"/>
    <x v="8"/>
    <x v="6"/>
    <x v="0"/>
  </r>
  <r>
    <x v="0"/>
    <s v="Her"/>
    <n v="0.14000000000000001"/>
    <x v="92"/>
    <x v="10"/>
    <x v="0"/>
  </r>
  <r>
    <x v="0"/>
    <s v="Her"/>
    <n v="0.14000000000000001"/>
    <x v="30"/>
    <x v="6"/>
    <x v="0"/>
  </r>
  <r>
    <x v="0"/>
    <s v="Her"/>
    <n v="0.13"/>
    <x v="44"/>
    <x v="6"/>
    <x v="0"/>
  </r>
  <r>
    <x v="0"/>
    <s v="Her"/>
    <n v="0.13"/>
    <x v="11"/>
    <x v="8"/>
    <x v="0"/>
  </r>
  <r>
    <x v="0"/>
    <s v="Her"/>
    <n v="0.13"/>
    <x v="75"/>
    <x v="12"/>
    <x v="0"/>
  </r>
  <r>
    <x v="0"/>
    <s v="Her"/>
    <n v="0.13"/>
    <x v="27"/>
    <x v="6"/>
    <x v="0"/>
  </r>
  <r>
    <x v="0"/>
    <s v="Her"/>
    <n v="0.13"/>
    <x v="14"/>
    <x v="9"/>
    <x v="0"/>
  </r>
  <r>
    <x v="0"/>
    <s v="Her"/>
    <n v="0.13"/>
    <x v="69"/>
    <x v="9"/>
    <x v="0"/>
  </r>
  <r>
    <x v="0"/>
    <s v="Her"/>
    <n v="0.12"/>
    <x v="65"/>
    <x v="1"/>
    <x v="0"/>
  </r>
  <r>
    <x v="0"/>
    <s v="Her"/>
    <n v="0.12"/>
    <x v="67"/>
    <x v="6"/>
    <x v="0"/>
  </r>
  <r>
    <x v="0"/>
    <s v="Her"/>
    <n v="0.12"/>
    <x v="86"/>
    <x v="12"/>
    <x v="0"/>
  </r>
  <r>
    <x v="0"/>
    <s v="Her"/>
    <n v="0.12"/>
    <x v="96"/>
    <x v="11"/>
    <x v="0"/>
  </r>
  <r>
    <x v="0"/>
    <s v="Her"/>
    <n v="0.12"/>
    <x v="95"/>
    <x v="13"/>
    <x v="0"/>
  </r>
  <r>
    <x v="0"/>
    <s v="Her"/>
    <n v="0.12"/>
    <x v="52"/>
    <x v="6"/>
    <x v="0"/>
  </r>
  <r>
    <x v="0"/>
    <s v="Her"/>
    <n v="0.12"/>
    <x v="16"/>
    <x v="1"/>
    <x v="0"/>
  </r>
  <r>
    <x v="0"/>
    <s v="Her"/>
    <n v="0.11"/>
    <x v="68"/>
    <x v="6"/>
    <x v="0"/>
  </r>
  <r>
    <x v="0"/>
    <s v="Her"/>
    <n v="0.09"/>
    <x v="83"/>
    <x v="8"/>
    <x v="0"/>
  </r>
  <r>
    <x v="0"/>
    <s v="Her"/>
    <n v="0.09"/>
    <x v="42"/>
    <x v="6"/>
    <x v="0"/>
  </r>
  <r>
    <x v="0"/>
    <s v="Female"/>
    <n v="0.6"/>
    <x v="2"/>
    <x v="1"/>
    <x v="1"/>
  </r>
  <r>
    <x v="0"/>
    <s v="Female"/>
    <n v="0.59"/>
    <x v="20"/>
    <x v="4"/>
    <x v="1"/>
  </r>
  <r>
    <x v="0"/>
    <s v="Female"/>
    <n v="0.59"/>
    <x v="87"/>
    <x v="9"/>
    <x v="1"/>
  </r>
  <r>
    <x v="0"/>
    <s v="Female"/>
    <n v="0.57999999999999996"/>
    <x v="6"/>
    <x v="3"/>
    <x v="1"/>
  </r>
  <r>
    <x v="0"/>
    <s v="Female"/>
    <n v="0.57999999999999996"/>
    <x v="0"/>
    <x v="0"/>
    <x v="1"/>
  </r>
  <r>
    <x v="0"/>
    <s v="Female"/>
    <n v="0.57999999999999996"/>
    <x v="3"/>
    <x v="2"/>
    <x v="1"/>
  </r>
  <r>
    <x v="0"/>
    <s v="Female"/>
    <n v="0.57999999999999996"/>
    <x v="46"/>
    <x v="4"/>
    <x v="1"/>
  </r>
  <r>
    <x v="0"/>
    <s v="Female"/>
    <n v="0.57999999999999996"/>
    <x v="13"/>
    <x v="10"/>
    <x v="1"/>
  </r>
  <r>
    <x v="0"/>
    <s v="Female"/>
    <n v="0.57999999999999996"/>
    <x v="34"/>
    <x v="3"/>
    <x v="1"/>
  </r>
  <r>
    <x v="0"/>
    <s v="Female"/>
    <n v="0.57999999999999996"/>
    <x v="41"/>
    <x v="7"/>
    <x v="1"/>
  </r>
  <r>
    <x v="0"/>
    <s v="Female"/>
    <n v="0.57999999999999996"/>
    <x v="4"/>
    <x v="3"/>
    <x v="1"/>
  </r>
  <r>
    <x v="0"/>
    <s v="Female"/>
    <n v="0.57999999999999996"/>
    <x v="39"/>
    <x v="11"/>
    <x v="1"/>
  </r>
  <r>
    <x v="0"/>
    <s v="Female"/>
    <n v="0.56999999999999995"/>
    <x v="32"/>
    <x v="3"/>
    <x v="1"/>
  </r>
  <r>
    <x v="0"/>
    <s v="Female"/>
    <n v="0.56999999999999995"/>
    <x v="64"/>
    <x v="6"/>
    <x v="1"/>
  </r>
  <r>
    <x v="0"/>
    <s v="Female"/>
    <n v="0.56999999999999995"/>
    <x v="1"/>
    <x v="1"/>
    <x v="1"/>
  </r>
  <r>
    <x v="0"/>
    <s v="Female"/>
    <n v="0.56999999999999995"/>
    <x v="5"/>
    <x v="4"/>
    <x v="1"/>
  </r>
  <r>
    <x v="0"/>
    <s v="Female"/>
    <n v="0.56999999999999995"/>
    <x v="43"/>
    <x v="2"/>
    <x v="1"/>
  </r>
  <r>
    <x v="0"/>
    <s v="Female"/>
    <n v="0.56999999999999995"/>
    <x v="21"/>
    <x v="0"/>
    <x v="1"/>
  </r>
  <r>
    <x v="0"/>
    <s v="Female"/>
    <n v="0.56999999999999995"/>
    <x v="19"/>
    <x v="0"/>
    <x v="1"/>
  </r>
  <r>
    <x v="0"/>
    <s v="Female"/>
    <n v="0.56999999999999995"/>
    <x v="47"/>
    <x v="3"/>
    <x v="1"/>
  </r>
  <r>
    <x v="0"/>
    <s v="Female"/>
    <n v="0.56999999999999995"/>
    <x v="28"/>
    <x v="5"/>
    <x v="1"/>
  </r>
  <r>
    <x v="0"/>
    <s v="Female"/>
    <n v="0.56999999999999995"/>
    <x v="36"/>
    <x v="6"/>
    <x v="1"/>
  </r>
  <r>
    <x v="0"/>
    <s v="Female"/>
    <n v="0.56999999999999995"/>
    <x v="22"/>
    <x v="3"/>
    <x v="1"/>
  </r>
  <r>
    <x v="0"/>
    <s v="Female"/>
    <n v="0.56999999999999995"/>
    <x v="45"/>
    <x v="3"/>
    <x v="1"/>
  </r>
  <r>
    <x v="0"/>
    <s v="Female"/>
    <n v="0.56999999999999995"/>
    <x v="10"/>
    <x v="0"/>
    <x v="1"/>
  </r>
  <r>
    <x v="0"/>
    <s v="Female"/>
    <n v="0.56999999999999995"/>
    <x v="37"/>
    <x v="3"/>
    <x v="1"/>
  </r>
  <r>
    <x v="0"/>
    <s v="Female"/>
    <n v="0.56000000000000005"/>
    <x v="38"/>
    <x v="3"/>
    <x v="1"/>
  </r>
  <r>
    <x v="0"/>
    <s v="Female"/>
    <n v="0.56000000000000005"/>
    <x v="53"/>
    <x v="9"/>
    <x v="1"/>
  </r>
  <r>
    <x v="0"/>
    <s v="Female"/>
    <n v="0.56000000000000005"/>
    <x v="16"/>
    <x v="1"/>
    <x v="1"/>
  </r>
  <r>
    <x v="0"/>
    <s v="Female"/>
    <n v="0.56000000000000005"/>
    <x v="25"/>
    <x v="0"/>
    <x v="1"/>
  </r>
  <r>
    <x v="0"/>
    <s v="Female"/>
    <n v="0.56000000000000005"/>
    <x v="71"/>
    <x v="6"/>
    <x v="1"/>
  </r>
  <r>
    <x v="0"/>
    <s v="Female"/>
    <n v="0.56000000000000005"/>
    <x v="35"/>
    <x v="7"/>
    <x v="1"/>
  </r>
  <r>
    <x v="0"/>
    <s v="Female"/>
    <n v="0.56000000000000005"/>
    <x v="56"/>
    <x v="9"/>
    <x v="1"/>
  </r>
  <r>
    <x v="0"/>
    <s v="Female"/>
    <n v="0.56000000000000005"/>
    <x v="79"/>
    <x v="10"/>
    <x v="1"/>
  </r>
  <r>
    <x v="0"/>
    <s v="Female"/>
    <n v="0.56000000000000005"/>
    <x v="55"/>
    <x v="14"/>
    <x v="1"/>
  </r>
  <r>
    <x v="0"/>
    <s v="Female"/>
    <n v="0.56000000000000005"/>
    <x v="90"/>
    <x v="11"/>
    <x v="1"/>
  </r>
  <r>
    <x v="0"/>
    <s v="Female"/>
    <n v="0.56000000000000005"/>
    <x v="17"/>
    <x v="8"/>
    <x v="1"/>
  </r>
  <r>
    <x v="0"/>
    <s v="Female"/>
    <n v="0.56000000000000005"/>
    <x v="7"/>
    <x v="5"/>
    <x v="1"/>
  </r>
  <r>
    <x v="0"/>
    <s v="Female"/>
    <n v="0.55000000000000004"/>
    <x v="26"/>
    <x v="6"/>
    <x v="1"/>
  </r>
  <r>
    <x v="0"/>
    <s v="Female"/>
    <n v="0.55000000000000004"/>
    <x v="54"/>
    <x v="4"/>
    <x v="1"/>
  </r>
  <r>
    <x v="0"/>
    <s v="Female"/>
    <n v="0.55000000000000004"/>
    <x v="14"/>
    <x v="9"/>
    <x v="1"/>
  </r>
  <r>
    <x v="0"/>
    <s v="Female"/>
    <n v="0.55000000000000004"/>
    <x v="81"/>
    <x v="6"/>
    <x v="1"/>
  </r>
  <r>
    <x v="0"/>
    <s v="Female"/>
    <n v="0.55000000000000004"/>
    <x v="29"/>
    <x v="4"/>
    <x v="1"/>
  </r>
  <r>
    <x v="0"/>
    <s v="Female"/>
    <n v="0.55000000000000004"/>
    <x v="72"/>
    <x v="14"/>
    <x v="1"/>
  </r>
  <r>
    <x v="0"/>
    <s v="Female"/>
    <n v="0.55000000000000004"/>
    <x v="8"/>
    <x v="6"/>
    <x v="1"/>
  </r>
  <r>
    <x v="0"/>
    <s v="Female"/>
    <n v="0.55000000000000004"/>
    <x v="33"/>
    <x v="12"/>
    <x v="1"/>
  </r>
  <r>
    <x v="0"/>
    <s v="Female"/>
    <n v="0.55000000000000004"/>
    <x v="9"/>
    <x v="7"/>
    <x v="1"/>
  </r>
  <r>
    <x v="0"/>
    <s v="Female"/>
    <n v="0.55000000000000004"/>
    <x v="31"/>
    <x v="4"/>
    <x v="1"/>
  </r>
  <r>
    <x v="0"/>
    <s v="Female"/>
    <n v="0.55000000000000004"/>
    <x v="62"/>
    <x v="3"/>
    <x v="1"/>
  </r>
  <r>
    <x v="0"/>
    <s v="Female"/>
    <n v="0.55000000000000004"/>
    <x v="99"/>
    <x v="3"/>
    <x v="1"/>
  </r>
  <r>
    <x v="0"/>
    <s v="Female"/>
    <n v="0.55000000000000004"/>
    <x v="42"/>
    <x v="6"/>
    <x v="1"/>
  </r>
  <r>
    <x v="0"/>
    <s v="Female"/>
    <n v="0.55000000000000004"/>
    <x v="73"/>
    <x v="2"/>
    <x v="1"/>
  </r>
  <r>
    <x v="0"/>
    <s v="Female"/>
    <n v="0.55000000000000004"/>
    <x v="11"/>
    <x v="8"/>
    <x v="1"/>
  </r>
  <r>
    <x v="0"/>
    <s v="Female"/>
    <n v="0.55000000000000004"/>
    <x v="15"/>
    <x v="9"/>
    <x v="1"/>
  </r>
  <r>
    <x v="0"/>
    <s v="Female"/>
    <n v="0.55000000000000004"/>
    <x v="78"/>
    <x v="6"/>
    <x v="1"/>
  </r>
  <r>
    <x v="0"/>
    <s v="Female"/>
    <n v="0.55000000000000004"/>
    <x v="57"/>
    <x v="6"/>
    <x v="1"/>
  </r>
  <r>
    <x v="0"/>
    <s v="Female"/>
    <n v="0.55000000000000004"/>
    <x v="63"/>
    <x v="9"/>
    <x v="1"/>
  </r>
  <r>
    <x v="0"/>
    <s v="Female"/>
    <n v="0.55000000000000004"/>
    <x v="86"/>
    <x v="12"/>
    <x v="1"/>
  </r>
  <r>
    <x v="0"/>
    <s v="Female"/>
    <n v="0.55000000000000004"/>
    <x v="70"/>
    <x v="3"/>
    <x v="1"/>
  </r>
  <r>
    <x v="0"/>
    <s v="Female"/>
    <n v="0.54"/>
    <x v="23"/>
    <x v="11"/>
    <x v="1"/>
  </r>
  <r>
    <x v="0"/>
    <s v="Female"/>
    <n v="0.54"/>
    <x v="59"/>
    <x v="9"/>
    <x v="1"/>
  </r>
  <r>
    <x v="0"/>
    <s v="Female"/>
    <n v="0.54"/>
    <x v="48"/>
    <x v="13"/>
    <x v="1"/>
  </r>
  <r>
    <x v="0"/>
    <s v="Female"/>
    <n v="0.54"/>
    <x v="80"/>
    <x v="1"/>
    <x v="1"/>
  </r>
  <r>
    <x v="0"/>
    <s v="Female"/>
    <n v="0.54"/>
    <x v="58"/>
    <x v="12"/>
    <x v="1"/>
  </r>
  <r>
    <x v="0"/>
    <s v="Female"/>
    <n v="0.54"/>
    <x v="24"/>
    <x v="6"/>
    <x v="1"/>
  </r>
  <r>
    <x v="0"/>
    <s v="Female"/>
    <n v="0.54"/>
    <x v="77"/>
    <x v="2"/>
    <x v="1"/>
  </r>
  <r>
    <x v="0"/>
    <s v="Female"/>
    <n v="0.54"/>
    <x v="50"/>
    <x v="12"/>
    <x v="1"/>
  </r>
  <r>
    <x v="0"/>
    <s v="Female"/>
    <n v="0.54"/>
    <x v="92"/>
    <x v="10"/>
    <x v="1"/>
  </r>
  <r>
    <x v="0"/>
    <s v="Female"/>
    <n v="0.54"/>
    <x v="61"/>
    <x v="11"/>
    <x v="1"/>
  </r>
  <r>
    <x v="0"/>
    <s v="Female"/>
    <n v="0.54"/>
    <x v="96"/>
    <x v="11"/>
    <x v="1"/>
  </r>
  <r>
    <x v="0"/>
    <s v="Female"/>
    <n v="0.54"/>
    <x v="12"/>
    <x v="9"/>
    <x v="1"/>
  </r>
  <r>
    <x v="0"/>
    <s v="Female"/>
    <n v="0.54"/>
    <x v="44"/>
    <x v="6"/>
    <x v="1"/>
  </r>
  <r>
    <x v="0"/>
    <s v="Female"/>
    <n v="0.54"/>
    <x v="49"/>
    <x v="3"/>
    <x v="1"/>
  </r>
  <r>
    <x v="0"/>
    <s v="Female"/>
    <n v="0.54"/>
    <x v="52"/>
    <x v="6"/>
    <x v="1"/>
  </r>
  <r>
    <x v="0"/>
    <s v="Female"/>
    <n v="0.54"/>
    <x v="91"/>
    <x v="6"/>
    <x v="1"/>
  </r>
  <r>
    <x v="0"/>
    <s v="Female"/>
    <n v="0.54"/>
    <x v="40"/>
    <x v="3"/>
    <x v="1"/>
  </r>
  <r>
    <x v="0"/>
    <s v="Female"/>
    <n v="0.54"/>
    <x v="75"/>
    <x v="12"/>
    <x v="1"/>
  </r>
  <r>
    <x v="0"/>
    <s v="Female"/>
    <n v="0.53"/>
    <x v="82"/>
    <x v="9"/>
    <x v="1"/>
  </r>
  <r>
    <x v="0"/>
    <s v="Female"/>
    <n v="0.53"/>
    <x v="74"/>
    <x v="1"/>
    <x v="1"/>
  </r>
  <r>
    <x v="0"/>
    <s v="Female"/>
    <n v="0.53"/>
    <x v="84"/>
    <x v="3"/>
    <x v="1"/>
  </r>
  <r>
    <x v="0"/>
    <s v="Female"/>
    <n v="0.53"/>
    <x v="27"/>
    <x v="6"/>
    <x v="1"/>
  </r>
  <r>
    <x v="0"/>
    <s v="Female"/>
    <n v="0.53"/>
    <x v="18"/>
    <x v="11"/>
    <x v="1"/>
  </r>
  <r>
    <x v="0"/>
    <s v="Female"/>
    <n v="0.53"/>
    <x v="76"/>
    <x v="1"/>
    <x v="1"/>
  </r>
  <r>
    <x v="0"/>
    <s v="Female"/>
    <n v="0.53"/>
    <x v="85"/>
    <x v="9"/>
    <x v="1"/>
  </r>
  <r>
    <x v="0"/>
    <s v="Female"/>
    <n v="0.53"/>
    <x v="67"/>
    <x v="6"/>
    <x v="1"/>
  </r>
  <r>
    <x v="0"/>
    <s v="Female"/>
    <n v="0.53"/>
    <x v="98"/>
    <x v="13"/>
    <x v="1"/>
  </r>
  <r>
    <x v="0"/>
    <s v="Female"/>
    <n v="0.52"/>
    <x v="30"/>
    <x v="6"/>
    <x v="1"/>
  </r>
  <r>
    <x v="0"/>
    <s v="Female"/>
    <n v="0.52"/>
    <x v="66"/>
    <x v="13"/>
    <x v="1"/>
  </r>
  <r>
    <x v="0"/>
    <s v="Female"/>
    <n v="0.52"/>
    <x v="68"/>
    <x v="6"/>
    <x v="1"/>
  </r>
  <r>
    <x v="0"/>
    <s v="Female"/>
    <n v="0.52"/>
    <x v="89"/>
    <x v="2"/>
    <x v="1"/>
  </r>
  <r>
    <x v="0"/>
    <s v="Female"/>
    <n v="0.52"/>
    <x v="93"/>
    <x v="6"/>
    <x v="1"/>
  </r>
  <r>
    <x v="0"/>
    <s v="Female"/>
    <n v="0.52"/>
    <x v="97"/>
    <x v="3"/>
    <x v="1"/>
  </r>
  <r>
    <x v="0"/>
    <s v="Female"/>
    <n v="0.52"/>
    <x v="60"/>
    <x v="6"/>
    <x v="1"/>
  </r>
  <r>
    <x v="0"/>
    <s v="Female"/>
    <n v="0.52"/>
    <x v="94"/>
    <x v="6"/>
    <x v="1"/>
  </r>
  <r>
    <x v="0"/>
    <s v="Female"/>
    <n v="0.52"/>
    <x v="69"/>
    <x v="9"/>
    <x v="1"/>
  </r>
  <r>
    <x v="0"/>
    <s v="Female"/>
    <n v="0.51"/>
    <x v="88"/>
    <x v="11"/>
    <x v="1"/>
  </r>
  <r>
    <x v="0"/>
    <s v="Female"/>
    <n v="0.51"/>
    <x v="51"/>
    <x v="5"/>
    <x v="1"/>
  </r>
  <r>
    <x v="0"/>
    <s v="Female"/>
    <n v="0.51"/>
    <x v="83"/>
    <x v="8"/>
    <x v="1"/>
  </r>
  <r>
    <x v="0"/>
    <s v="Female"/>
    <n v="0.5"/>
    <x v="65"/>
    <x v="1"/>
    <x v="1"/>
  </r>
  <r>
    <x v="0"/>
    <s v="Female"/>
    <n v="0.5"/>
    <x v="95"/>
    <x v="13"/>
    <x v="1"/>
  </r>
  <r>
    <x v="1"/>
    <s v="Male"/>
    <n v="0.59"/>
    <x v="6"/>
    <x v="3"/>
    <x v="1"/>
  </r>
  <r>
    <x v="1"/>
    <s v="Male"/>
    <n v="0.59"/>
    <x v="0"/>
    <x v="0"/>
    <x v="1"/>
  </r>
  <r>
    <x v="1"/>
    <s v="Male"/>
    <n v="0.59"/>
    <x v="34"/>
    <x v="3"/>
    <x v="1"/>
  </r>
  <r>
    <x v="1"/>
    <s v="Male"/>
    <n v="0.57999999999999996"/>
    <x v="20"/>
    <x v="4"/>
    <x v="1"/>
  </r>
  <r>
    <x v="1"/>
    <s v="Male"/>
    <n v="0.57999999999999996"/>
    <x v="3"/>
    <x v="2"/>
    <x v="1"/>
  </r>
  <r>
    <x v="1"/>
    <s v="Male"/>
    <n v="0.57999999999999996"/>
    <x v="1"/>
    <x v="1"/>
    <x v="1"/>
  </r>
  <r>
    <x v="1"/>
    <s v="Male"/>
    <n v="0.57999999999999996"/>
    <x v="36"/>
    <x v="6"/>
    <x v="1"/>
  </r>
  <r>
    <x v="1"/>
    <s v="Male"/>
    <n v="0.57999999999999996"/>
    <x v="43"/>
    <x v="2"/>
    <x v="1"/>
  </r>
  <r>
    <x v="1"/>
    <s v="Male"/>
    <n v="0.57999999999999996"/>
    <x v="87"/>
    <x v="9"/>
    <x v="1"/>
  </r>
  <r>
    <x v="1"/>
    <s v="Male"/>
    <n v="0.56999999999999995"/>
    <x v="13"/>
    <x v="10"/>
    <x v="1"/>
  </r>
  <r>
    <x v="1"/>
    <s v="Male"/>
    <n v="0.56999999999999995"/>
    <x v="17"/>
    <x v="8"/>
    <x v="1"/>
  </r>
  <r>
    <x v="1"/>
    <s v="Male"/>
    <n v="0.56999999999999995"/>
    <x v="79"/>
    <x v="10"/>
    <x v="1"/>
  </r>
  <r>
    <x v="1"/>
    <s v="Male"/>
    <n v="0.56999999999999995"/>
    <x v="53"/>
    <x v="9"/>
    <x v="1"/>
  </r>
  <r>
    <x v="1"/>
    <s v="Male"/>
    <n v="0.56999999999999995"/>
    <x v="2"/>
    <x v="1"/>
    <x v="1"/>
  </r>
  <r>
    <x v="1"/>
    <s v="Male"/>
    <n v="0.56999999999999995"/>
    <x v="46"/>
    <x v="4"/>
    <x v="1"/>
  </r>
  <r>
    <x v="1"/>
    <s v="Male"/>
    <n v="0.56999999999999995"/>
    <x v="16"/>
    <x v="1"/>
    <x v="1"/>
  </r>
  <r>
    <x v="1"/>
    <s v="Male"/>
    <n v="0.56999999999999995"/>
    <x v="11"/>
    <x v="8"/>
    <x v="1"/>
  </r>
  <r>
    <x v="1"/>
    <s v="Male"/>
    <n v="0.56999999999999995"/>
    <x v="54"/>
    <x v="4"/>
    <x v="1"/>
  </r>
  <r>
    <x v="1"/>
    <s v="Male"/>
    <n v="0.56999999999999995"/>
    <x v="4"/>
    <x v="3"/>
    <x v="1"/>
  </r>
  <r>
    <x v="1"/>
    <s v="Male"/>
    <n v="0.56999999999999995"/>
    <x v="21"/>
    <x v="0"/>
    <x v="1"/>
  </r>
  <r>
    <x v="1"/>
    <s v="Male"/>
    <n v="0.56999999999999995"/>
    <x v="38"/>
    <x v="3"/>
    <x v="1"/>
  </r>
  <r>
    <x v="1"/>
    <s v="Male"/>
    <n v="0.56000000000000005"/>
    <x v="23"/>
    <x v="11"/>
    <x v="1"/>
  </r>
  <r>
    <x v="1"/>
    <s v="Male"/>
    <n v="0.56000000000000005"/>
    <x v="19"/>
    <x v="0"/>
    <x v="1"/>
  </r>
  <r>
    <x v="1"/>
    <s v="Male"/>
    <n v="0.56000000000000005"/>
    <x v="28"/>
    <x v="5"/>
    <x v="1"/>
  </r>
  <r>
    <x v="1"/>
    <s v="Male"/>
    <n v="0.56000000000000005"/>
    <x v="64"/>
    <x v="6"/>
    <x v="1"/>
  </r>
  <r>
    <x v="1"/>
    <s v="Male"/>
    <n v="0.56000000000000005"/>
    <x v="42"/>
    <x v="6"/>
    <x v="1"/>
  </r>
  <r>
    <x v="1"/>
    <s v="Male"/>
    <n v="0.56000000000000005"/>
    <x v="48"/>
    <x v="13"/>
    <x v="1"/>
  </r>
  <r>
    <x v="1"/>
    <s v="Male"/>
    <n v="0.56000000000000005"/>
    <x v="45"/>
    <x v="3"/>
    <x v="1"/>
  </r>
  <r>
    <x v="1"/>
    <s v="Male"/>
    <n v="0.56000000000000005"/>
    <x v="27"/>
    <x v="6"/>
    <x v="1"/>
  </r>
  <r>
    <x v="1"/>
    <s v="Male"/>
    <n v="0.56000000000000005"/>
    <x v="59"/>
    <x v="9"/>
    <x v="1"/>
  </r>
  <r>
    <x v="1"/>
    <s v="Male"/>
    <n v="0.56000000000000005"/>
    <x v="37"/>
    <x v="3"/>
    <x v="1"/>
  </r>
  <r>
    <x v="1"/>
    <s v="Male"/>
    <n v="0.56000000000000005"/>
    <x v="22"/>
    <x v="3"/>
    <x v="1"/>
  </r>
  <r>
    <x v="1"/>
    <s v="Male"/>
    <n v="0.56000000000000005"/>
    <x v="81"/>
    <x v="6"/>
    <x v="1"/>
  </r>
  <r>
    <x v="1"/>
    <s v="Male"/>
    <n v="0.56000000000000005"/>
    <x v="41"/>
    <x v="7"/>
    <x v="1"/>
  </r>
  <r>
    <x v="1"/>
    <s v="Male"/>
    <n v="0.56000000000000005"/>
    <x v="29"/>
    <x v="4"/>
    <x v="1"/>
  </r>
  <r>
    <x v="1"/>
    <s v="Male"/>
    <n v="0.56000000000000005"/>
    <x v="71"/>
    <x v="6"/>
    <x v="1"/>
  </r>
  <r>
    <x v="1"/>
    <s v="Male"/>
    <n v="0.55000000000000004"/>
    <x v="26"/>
    <x v="6"/>
    <x v="1"/>
  </r>
  <r>
    <x v="1"/>
    <s v="Male"/>
    <n v="0.55000000000000004"/>
    <x v="39"/>
    <x v="11"/>
    <x v="1"/>
  </r>
  <r>
    <x v="1"/>
    <s v="Male"/>
    <n v="0.55000000000000004"/>
    <x v="72"/>
    <x v="14"/>
    <x v="1"/>
  </r>
  <r>
    <x v="1"/>
    <s v="Male"/>
    <n v="0.55000000000000004"/>
    <x v="32"/>
    <x v="3"/>
    <x v="1"/>
  </r>
  <r>
    <x v="1"/>
    <s v="Male"/>
    <n v="0.55000000000000004"/>
    <x v="33"/>
    <x v="12"/>
    <x v="1"/>
  </r>
  <r>
    <x v="1"/>
    <s v="Male"/>
    <n v="0.55000000000000004"/>
    <x v="8"/>
    <x v="6"/>
    <x v="1"/>
  </r>
  <r>
    <x v="1"/>
    <s v="Male"/>
    <n v="0.55000000000000004"/>
    <x v="68"/>
    <x v="6"/>
    <x v="1"/>
  </r>
  <r>
    <x v="1"/>
    <s v="Male"/>
    <n v="0.55000000000000004"/>
    <x v="52"/>
    <x v="6"/>
    <x v="1"/>
  </r>
  <r>
    <x v="1"/>
    <s v="Male"/>
    <n v="0.55000000000000004"/>
    <x v="14"/>
    <x v="9"/>
    <x v="1"/>
  </r>
  <r>
    <x v="1"/>
    <s v="Male"/>
    <n v="0.55000000000000004"/>
    <x v="65"/>
    <x v="1"/>
    <x v="1"/>
  </r>
  <r>
    <x v="1"/>
    <s v="Male"/>
    <n v="0.55000000000000004"/>
    <x v="10"/>
    <x v="0"/>
    <x v="1"/>
  </r>
  <r>
    <x v="1"/>
    <s v="Male"/>
    <n v="0.55000000000000004"/>
    <x v="78"/>
    <x v="6"/>
    <x v="1"/>
  </r>
  <r>
    <x v="1"/>
    <s v="Male"/>
    <n v="0.55000000000000004"/>
    <x v="30"/>
    <x v="6"/>
    <x v="1"/>
  </r>
  <r>
    <x v="1"/>
    <s v="Male"/>
    <n v="0.55000000000000004"/>
    <x v="74"/>
    <x v="1"/>
    <x v="1"/>
  </r>
  <r>
    <x v="1"/>
    <s v="Male"/>
    <n v="0.55000000000000004"/>
    <x v="84"/>
    <x v="3"/>
    <x v="1"/>
  </r>
  <r>
    <x v="1"/>
    <s v="Male"/>
    <n v="0.55000000000000004"/>
    <x v="15"/>
    <x v="9"/>
    <x v="1"/>
  </r>
  <r>
    <x v="1"/>
    <s v="Male"/>
    <n v="0.54"/>
    <x v="56"/>
    <x v="9"/>
    <x v="1"/>
  </r>
  <r>
    <x v="1"/>
    <s v="Male"/>
    <n v="0.54"/>
    <x v="86"/>
    <x v="12"/>
    <x v="1"/>
  </r>
  <r>
    <x v="1"/>
    <s v="Male"/>
    <n v="0.54"/>
    <x v="89"/>
    <x v="2"/>
    <x v="1"/>
  </r>
  <r>
    <x v="1"/>
    <s v="Male"/>
    <n v="0.54"/>
    <x v="40"/>
    <x v="3"/>
    <x v="1"/>
  </r>
  <r>
    <x v="1"/>
    <s v="Male"/>
    <n v="0.54"/>
    <x v="31"/>
    <x v="4"/>
    <x v="1"/>
  </r>
  <r>
    <x v="1"/>
    <s v="Male"/>
    <n v="0.54"/>
    <x v="24"/>
    <x v="6"/>
    <x v="1"/>
  </r>
  <r>
    <x v="1"/>
    <s v="Male"/>
    <n v="0.54"/>
    <x v="12"/>
    <x v="9"/>
    <x v="1"/>
  </r>
  <r>
    <x v="1"/>
    <s v="Male"/>
    <n v="0.54"/>
    <x v="47"/>
    <x v="3"/>
    <x v="1"/>
  </r>
  <r>
    <x v="1"/>
    <s v="Male"/>
    <n v="0.54"/>
    <x v="76"/>
    <x v="1"/>
    <x v="1"/>
  </r>
  <r>
    <x v="1"/>
    <s v="Male"/>
    <n v="0.54"/>
    <x v="5"/>
    <x v="4"/>
    <x v="1"/>
  </r>
  <r>
    <x v="1"/>
    <s v="Male"/>
    <n v="0.54"/>
    <x v="44"/>
    <x v="6"/>
    <x v="1"/>
  </r>
  <r>
    <x v="1"/>
    <s v="Male"/>
    <n v="0.54"/>
    <x v="55"/>
    <x v="14"/>
    <x v="1"/>
  </r>
  <r>
    <x v="1"/>
    <s v="Male"/>
    <n v="0.54"/>
    <x v="96"/>
    <x v="11"/>
    <x v="1"/>
  </r>
  <r>
    <x v="1"/>
    <s v="Male"/>
    <n v="0.54"/>
    <x v="70"/>
    <x v="3"/>
    <x v="1"/>
  </r>
  <r>
    <x v="1"/>
    <s v="Male"/>
    <n v="0.54"/>
    <x v="91"/>
    <x v="6"/>
    <x v="1"/>
  </r>
  <r>
    <x v="1"/>
    <s v="Male"/>
    <n v="0.54"/>
    <x v="57"/>
    <x v="6"/>
    <x v="1"/>
  </r>
  <r>
    <x v="1"/>
    <s v="Male"/>
    <n v="0.54"/>
    <x v="50"/>
    <x v="12"/>
    <x v="1"/>
  </r>
  <r>
    <x v="1"/>
    <s v="Male"/>
    <n v="0.54"/>
    <x v="18"/>
    <x v="11"/>
    <x v="1"/>
  </r>
  <r>
    <x v="1"/>
    <s v="Male"/>
    <n v="0.54"/>
    <x v="62"/>
    <x v="3"/>
    <x v="1"/>
  </r>
  <r>
    <x v="1"/>
    <s v="Male"/>
    <n v="0.54"/>
    <x v="75"/>
    <x v="12"/>
    <x v="1"/>
  </r>
  <r>
    <x v="1"/>
    <s v="Male"/>
    <n v="0.54"/>
    <x v="35"/>
    <x v="7"/>
    <x v="1"/>
  </r>
  <r>
    <x v="1"/>
    <s v="Male"/>
    <n v="0.53"/>
    <x v="25"/>
    <x v="0"/>
    <x v="1"/>
  </r>
  <r>
    <x v="1"/>
    <s v="Male"/>
    <n v="0.53"/>
    <x v="92"/>
    <x v="10"/>
    <x v="1"/>
  </r>
  <r>
    <x v="1"/>
    <s v="Male"/>
    <n v="0.53"/>
    <x v="58"/>
    <x v="12"/>
    <x v="1"/>
  </r>
  <r>
    <x v="1"/>
    <s v="Male"/>
    <n v="0.53"/>
    <x v="61"/>
    <x v="11"/>
    <x v="1"/>
  </r>
  <r>
    <x v="1"/>
    <s v="Male"/>
    <n v="0.53"/>
    <x v="90"/>
    <x v="11"/>
    <x v="1"/>
  </r>
  <r>
    <x v="1"/>
    <s v="Male"/>
    <n v="0.53"/>
    <x v="7"/>
    <x v="5"/>
    <x v="1"/>
  </r>
  <r>
    <x v="1"/>
    <s v="Male"/>
    <n v="0.53"/>
    <x v="73"/>
    <x v="2"/>
    <x v="1"/>
  </r>
  <r>
    <x v="1"/>
    <s v="Male"/>
    <n v="0.53"/>
    <x v="63"/>
    <x v="9"/>
    <x v="1"/>
  </r>
  <r>
    <x v="1"/>
    <s v="Male"/>
    <n v="0.53"/>
    <x v="82"/>
    <x v="9"/>
    <x v="1"/>
  </r>
  <r>
    <x v="1"/>
    <s v="Male"/>
    <n v="0.53"/>
    <x v="9"/>
    <x v="7"/>
    <x v="1"/>
  </r>
  <r>
    <x v="1"/>
    <s v="Male"/>
    <n v="0.53"/>
    <x v="80"/>
    <x v="1"/>
    <x v="1"/>
  </r>
  <r>
    <x v="1"/>
    <s v="Male"/>
    <n v="0.53"/>
    <x v="69"/>
    <x v="9"/>
    <x v="1"/>
  </r>
  <r>
    <x v="1"/>
    <s v="Male"/>
    <n v="0.53"/>
    <x v="67"/>
    <x v="6"/>
    <x v="1"/>
  </r>
  <r>
    <x v="1"/>
    <s v="Male"/>
    <n v="0.53"/>
    <x v="99"/>
    <x v="3"/>
    <x v="1"/>
  </r>
  <r>
    <x v="1"/>
    <s v="Male"/>
    <n v="0.53"/>
    <x v="95"/>
    <x v="13"/>
    <x v="1"/>
  </r>
  <r>
    <x v="1"/>
    <s v="Male"/>
    <n v="0.53"/>
    <x v="97"/>
    <x v="3"/>
    <x v="1"/>
  </r>
  <r>
    <x v="1"/>
    <s v="Male"/>
    <n v="0.52"/>
    <x v="49"/>
    <x v="3"/>
    <x v="1"/>
  </r>
  <r>
    <x v="1"/>
    <s v="Male"/>
    <n v="0.52"/>
    <x v="60"/>
    <x v="6"/>
    <x v="1"/>
  </r>
  <r>
    <x v="1"/>
    <s v="Male"/>
    <n v="0.52"/>
    <x v="93"/>
    <x v="6"/>
    <x v="1"/>
  </r>
  <r>
    <x v="1"/>
    <s v="Male"/>
    <n v="0.52"/>
    <x v="66"/>
    <x v="13"/>
    <x v="1"/>
  </r>
  <r>
    <x v="1"/>
    <s v="Male"/>
    <n v="0.52"/>
    <x v="77"/>
    <x v="2"/>
    <x v="1"/>
  </r>
  <r>
    <x v="1"/>
    <s v="Male"/>
    <n v="0.52"/>
    <x v="94"/>
    <x v="6"/>
    <x v="1"/>
  </r>
  <r>
    <x v="1"/>
    <s v="Male"/>
    <n v="0.52"/>
    <x v="88"/>
    <x v="11"/>
    <x v="1"/>
  </r>
  <r>
    <x v="1"/>
    <s v="Male"/>
    <n v="0.52"/>
    <x v="98"/>
    <x v="13"/>
    <x v="1"/>
  </r>
  <r>
    <x v="1"/>
    <s v="Male"/>
    <n v="0.51"/>
    <x v="85"/>
    <x v="9"/>
    <x v="1"/>
  </r>
  <r>
    <x v="1"/>
    <s v="Male"/>
    <n v="0.51"/>
    <x v="83"/>
    <x v="8"/>
    <x v="1"/>
  </r>
  <r>
    <x v="1"/>
    <s v="Male"/>
    <n v="0.5"/>
    <x v="51"/>
    <x v="5"/>
    <x v="1"/>
  </r>
  <r>
    <x v="1"/>
    <s v="He"/>
    <n v="0.63"/>
    <x v="1"/>
    <x v="1"/>
    <x v="1"/>
  </r>
  <r>
    <x v="1"/>
    <s v="He"/>
    <n v="0.61"/>
    <x v="0"/>
    <x v="0"/>
    <x v="1"/>
  </r>
  <r>
    <x v="1"/>
    <s v="He"/>
    <n v="0.6"/>
    <x v="43"/>
    <x v="2"/>
    <x v="1"/>
  </r>
  <r>
    <x v="1"/>
    <s v="He"/>
    <n v="0.59"/>
    <x v="21"/>
    <x v="0"/>
    <x v="1"/>
  </r>
  <r>
    <x v="1"/>
    <s v="He"/>
    <n v="0.59"/>
    <x v="44"/>
    <x v="6"/>
    <x v="1"/>
  </r>
  <r>
    <x v="1"/>
    <s v="He"/>
    <n v="0.59"/>
    <x v="20"/>
    <x v="4"/>
    <x v="1"/>
  </r>
  <r>
    <x v="1"/>
    <s v="He"/>
    <n v="0.59"/>
    <x v="12"/>
    <x v="9"/>
    <x v="1"/>
  </r>
  <r>
    <x v="1"/>
    <s v="He"/>
    <n v="0.59"/>
    <x v="3"/>
    <x v="2"/>
    <x v="1"/>
  </r>
  <r>
    <x v="1"/>
    <s v="He"/>
    <n v="0.59"/>
    <x v="81"/>
    <x v="6"/>
    <x v="1"/>
  </r>
  <r>
    <x v="1"/>
    <s v="He"/>
    <n v="0.59"/>
    <x v="28"/>
    <x v="5"/>
    <x v="1"/>
  </r>
  <r>
    <x v="1"/>
    <s v="He"/>
    <n v="0.57999999999999996"/>
    <x v="38"/>
    <x v="3"/>
    <x v="1"/>
  </r>
  <r>
    <x v="1"/>
    <s v="He"/>
    <n v="0.57999999999999996"/>
    <x v="36"/>
    <x v="6"/>
    <x v="1"/>
  </r>
  <r>
    <x v="1"/>
    <s v="He"/>
    <n v="0.57999999999999996"/>
    <x v="6"/>
    <x v="3"/>
    <x v="1"/>
  </r>
  <r>
    <x v="1"/>
    <s v="He"/>
    <n v="0.57999999999999996"/>
    <x v="34"/>
    <x v="3"/>
    <x v="1"/>
  </r>
  <r>
    <x v="1"/>
    <s v="He"/>
    <n v="0.57999999999999996"/>
    <x v="17"/>
    <x v="8"/>
    <x v="1"/>
  </r>
  <r>
    <x v="1"/>
    <s v="He"/>
    <n v="0.57999999999999996"/>
    <x v="48"/>
    <x v="13"/>
    <x v="1"/>
  </r>
  <r>
    <x v="1"/>
    <s v="He"/>
    <n v="0.57999999999999996"/>
    <x v="55"/>
    <x v="14"/>
    <x v="1"/>
  </r>
  <r>
    <x v="1"/>
    <s v="He"/>
    <n v="0.57999999999999996"/>
    <x v="87"/>
    <x v="9"/>
    <x v="1"/>
  </r>
  <r>
    <x v="1"/>
    <s v="He"/>
    <n v="0.57999999999999996"/>
    <x v="19"/>
    <x v="0"/>
    <x v="1"/>
  </r>
  <r>
    <x v="1"/>
    <s v="He"/>
    <n v="0.57999999999999996"/>
    <x v="59"/>
    <x v="9"/>
    <x v="1"/>
  </r>
  <r>
    <x v="1"/>
    <s v="He"/>
    <n v="0.57999999999999996"/>
    <x v="23"/>
    <x v="11"/>
    <x v="1"/>
  </r>
  <r>
    <x v="1"/>
    <s v="He"/>
    <n v="0.56999999999999995"/>
    <x v="11"/>
    <x v="8"/>
    <x v="1"/>
  </r>
  <r>
    <x v="1"/>
    <s v="He"/>
    <n v="0.56999999999999995"/>
    <x v="32"/>
    <x v="3"/>
    <x v="1"/>
  </r>
  <r>
    <x v="1"/>
    <s v="He"/>
    <n v="0.56999999999999995"/>
    <x v="71"/>
    <x v="6"/>
    <x v="1"/>
  </r>
  <r>
    <x v="1"/>
    <s v="He"/>
    <n v="0.56999999999999995"/>
    <x v="37"/>
    <x v="3"/>
    <x v="1"/>
  </r>
  <r>
    <x v="1"/>
    <s v="He"/>
    <n v="0.56999999999999995"/>
    <x v="14"/>
    <x v="9"/>
    <x v="1"/>
  </r>
  <r>
    <x v="1"/>
    <s v="He"/>
    <n v="0.56999999999999995"/>
    <x v="52"/>
    <x v="6"/>
    <x v="1"/>
  </r>
  <r>
    <x v="1"/>
    <s v="He"/>
    <n v="0.56999999999999995"/>
    <x v="29"/>
    <x v="4"/>
    <x v="1"/>
  </r>
  <r>
    <x v="1"/>
    <s v="He"/>
    <n v="0.56999999999999995"/>
    <x v="53"/>
    <x v="9"/>
    <x v="1"/>
  </r>
  <r>
    <x v="1"/>
    <s v="He"/>
    <n v="0.56999999999999995"/>
    <x v="45"/>
    <x v="3"/>
    <x v="1"/>
  </r>
  <r>
    <x v="1"/>
    <s v="He"/>
    <n v="0.56999999999999995"/>
    <x v="46"/>
    <x v="4"/>
    <x v="1"/>
  </r>
  <r>
    <x v="1"/>
    <s v="He"/>
    <n v="0.56999999999999995"/>
    <x v="31"/>
    <x v="4"/>
    <x v="1"/>
  </r>
  <r>
    <x v="1"/>
    <s v="He"/>
    <n v="0.56000000000000005"/>
    <x v="68"/>
    <x v="6"/>
    <x v="1"/>
  </r>
  <r>
    <x v="1"/>
    <s v="He"/>
    <n v="0.56000000000000005"/>
    <x v="64"/>
    <x v="6"/>
    <x v="1"/>
  </r>
  <r>
    <x v="1"/>
    <s v="He"/>
    <n v="0.56000000000000005"/>
    <x v="13"/>
    <x v="10"/>
    <x v="1"/>
  </r>
  <r>
    <x v="1"/>
    <s v="He"/>
    <n v="0.56000000000000005"/>
    <x v="30"/>
    <x v="6"/>
    <x v="1"/>
  </r>
  <r>
    <x v="1"/>
    <s v="He"/>
    <n v="0.56000000000000005"/>
    <x v="22"/>
    <x v="3"/>
    <x v="1"/>
  </r>
  <r>
    <x v="1"/>
    <s v="He"/>
    <n v="0.56000000000000005"/>
    <x v="94"/>
    <x v="6"/>
    <x v="1"/>
  </r>
  <r>
    <x v="1"/>
    <s v="He"/>
    <n v="0.56000000000000005"/>
    <x v="2"/>
    <x v="1"/>
    <x v="1"/>
  </r>
  <r>
    <x v="1"/>
    <s v="He"/>
    <n v="0.56000000000000005"/>
    <x v="90"/>
    <x v="11"/>
    <x v="1"/>
  </r>
  <r>
    <x v="1"/>
    <s v="He"/>
    <n v="0.56000000000000005"/>
    <x v="86"/>
    <x v="12"/>
    <x v="1"/>
  </r>
  <r>
    <x v="1"/>
    <s v="He"/>
    <n v="0.56000000000000005"/>
    <x v="10"/>
    <x v="0"/>
    <x v="1"/>
  </r>
  <r>
    <x v="1"/>
    <s v="He"/>
    <n v="0.56000000000000005"/>
    <x v="33"/>
    <x v="12"/>
    <x v="1"/>
  </r>
  <r>
    <x v="1"/>
    <s v="He"/>
    <n v="0.56000000000000005"/>
    <x v="5"/>
    <x v="4"/>
    <x v="1"/>
  </r>
  <r>
    <x v="1"/>
    <s v="He"/>
    <n v="0.56000000000000005"/>
    <x v="54"/>
    <x v="4"/>
    <x v="1"/>
  </r>
  <r>
    <x v="1"/>
    <s v="He"/>
    <n v="0.56000000000000005"/>
    <x v="57"/>
    <x v="6"/>
    <x v="1"/>
  </r>
  <r>
    <x v="1"/>
    <s v="He"/>
    <n v="0.56000000000000005"/>
    <x v="16"/>
    <x v="1"/>
    <x v="1"/>
  </r>
  <r>
    <x v="1"/>
    <s v="He"/>
    <n v="0.56000000000000005"/>
    <x v="56"/>
    <x v="9"/>
    <x v="1"/>
  </r>
  <r>
    <x v="1"/>
    <s v="He"/>
    <n v="0.56000000000000005"/>
    <x v="96"/>
    <x v="11"/>
    <x v="1"/>
  </r>
  <r>
    <x v="1"/>
    <s v="He"/>
    <n v="0.56000000000000005"/>
    <x v="35"/>
    <x v="7"/>
    <x v="1"/>
  </r>
  <r>
    <x v="1"/>
    <s v="He"/>
    <n v="0.56000000000000005"/>
    <x v="39"/>
    <x v="11"/>
    <x v="1"/>
  </r>
  <r>
    <x v="1"/>
    <s v="He"/>
    <n v="0.56000000000000005"/>
    <x v="76"/>
    <x v="1"/>
    <x v="1"/>
  </r>
  <r>
    <x v="1"/>
    <s v="He"/>
    <n v="0.56000000000000005"/>
    <x v="42"/>
    <x v="6"/>
    <x v="1"/>
  </r>
  <r>
    <x v="1"/>
    <s v="He"/>
    <n v="0.55000000000000004"/>
    <x v="69"/>
    <x v="9"/>
    <x v="1"/>
  </r>
  <r>
    <x v="1"/>
    <s v="He"/>
    <n v="0.55000000000000004"/>
    <x v="27"/>
    <x v="6"/>
    <x v="1"/>
  </r>
  <r>
    <x v="1"/>
    <s v="He"/>
    <n v="0.55000000000000004"/>
    <x v="73"/>
    <x v="2"/>
    <x v="1"/>
  </r>
  <r>
    <x v="1"/>
    <s v="He"/>
    <n v="0.55000000000000004"/>
    <x v="70"/>
    <x v="3"/>
    <x v="1"/>
  </r>
  <r>
    <x v="1"/>
    <s v="He"/>
    <n v="0.55000000000000004"/>
    <x v="72"/>
    <x v="14"/>
    <x v="1"/>
  </r>
  <r>
    <x v="1"/>
    <s v="He"/>
    <n v="0.55000000000000004"/>
    <x v="41"/>
    <x v="7"/>
    <x v="1"/>
  </r>
  <r>
    <x v="1"/>
    <s v="He"/>
    <n v="0.55000000000000004"/>
    <x v="7"/>
    <x v="5"/>
    <x v="1"/>
  </r>
  <r>
    <x v="1"/>
    <s v="He"/>
    <n v="0.55000000000000004"/>
    <x v="92"/>
    <x v="10"/>
    <x v="1"/>
  </r>
  <r>
    <x v="1"/>
    <s v="He"/>
    <n v="0.55000000000000004"/>
    <x v="79"/>
    <x v="10"/>
    <x v="1"/>
  </r>
  <r>
    <x v="1"/>
    <s v="He"/>
    <n v="0.55000000000000004"/>
    <x v="18"/>
    <x v="11"/>
    <x v="1"/>
  </r>
  <r>
    <x v="1"/>
    <s v="He"/>
    <n v="0.55000000000000004"/>
    <x v="26"/>
    <x v="6"/>
    <x v="1"/>
  </r>
  <r>
    <x v="1"/>
    <s v="He"/>
    <n v="0.55000000000000004"/>
    <x v="50"/>
    <x v="12"/>
    <x v="1"/>
  </r>
  <r>
    <x v="1"/>
    <s v="He"/>
    <n v="0.55000000000000004"/>
    <x v="78"/>
    <x v="6"/>
    <x v="1"/>
  </r>
  <r>
    <x v="1"/>
    <s v="He"/>
    <n v="0.55000000000000004"/>
    <x v="91"/>
    <x v="6"/>
    <x v="1"/>
  </r>
  <r>
    <x v="1"/>
    <s v="He"/>
    <n v="0.54"/>
    <x v="4"/>
    <x v="3"/>
    <x v="1"/>
  </r>
  <r>
    <x v="1"/>
    <s v="He"/>
    <n v="0.54"/>
    <x v="25"/>
    <x v="0"/>
    <x v="1"/>
  </r>
  <r>
    <x v="1"/>
    <s v="He"/>
    <n v="0.54"/>
    <x v="98"/>
    <x v="13"/>
    <x v="1"/>
  </r>
  <r>
    <x v="1"/>
    <s v="He"/>
    <n v="0.54"/>
    <x v="9"/>
    <x v="7"/>
    <x v="1"/>
  </r>
  <r>
    <x v="1"/>
    <s v="He"/>
    <n v="0.54"/>
    <x v="47"/>
    <x v="3"/>
    <x v="1"/>
  </r>
  <r>
    <x v="1"/>
    <s v="He"/>
    <n v="0.54"/>
    <x v="89"/>
    <x v="2"/>
    <x v="1"/>
  </r>
  <r>
    <x v="1"/>
    <s v="He"/>
    <n v="0.54"/>
    <x v="60"/>
    <x v="6"/>
    <x v="1"/>
  </r>
  <r>
    <x v="1"/>
    <s v="He"/>
    <n v="0.54"/>
    <x v="65"/>
    <x v="1"/>
    <x v="1"/>
  </r>
  <r>
    <x v="1"/>
    <s v="He"/>
    <n v="0.54"/>
    <x v="75"/>
    <x v="12"/>
    <x v="1"/>
  </r>
  <r>
    <x v="1"/>
    <s v="He"/>
    <n v="0.54"/>
    <x v="24"/>
    <x v="6"/>
    <x v="1"/>
  </r>
  <r>
    <x v="1"/>
    <s v="He"/>
    <n v="0.54"/>
    <x v="67"/>
    <x v="6"/>
    <x v="1"/>
  </r>
  <r>
    <x v="1"/>
    <s v="He"/>
    <n v="0.54"/>
    <x v="99"/>
    <x v="3"/>
    <x v="1"/>
  </r>
  <r>
    <x v="1"/>
    <s v="He"/>
    <n v="0.54"/>
    <x v="58"/>
    <x v="12"/>
    <x v="1"/>
  </r>
  <r>
    <x v="1"/>
    <s v="He"/>
    <n v="0.54"/>
    <x v="15"/>
    <x v="9"/>
    <x v="1"/>
  </r>
  <r>
    <x v="1"/>
    <s v="He"/>
    <n v="0.54"/>
    <x v="40"/>
    <x v="3"/>
    <x v="1"/>
  </r>
  <r>
    <x v="1"/>
    <s v="He"/>
    <n v="0.54"/>
    <x v="85"/>
    <x v="9"/>
    <x v="1"/>
  </r>
  <r>
    <x v="1"/>
    <s v="He"/>
    <n v="0.54"/>
    <x v="82"/>
    <x v="9"/>
    <x v="1"/>
  </r>
  <r>
    <x v="1"/>
    <s v="He"/>
    <n v="0.54"/>
    <x v="51"/>
    <x v="5"/>
    <x v="1"/>
  </r>
  <r>
    <x v="1"/>
    <s v="He"/>
    <n v="0.54"/>
    <x v="62"/>
    <x v="3"/>
    <x v="1"/>
  </r>
  <r>
    <x v="1"/>
    <s v="He"/>
    <n v="0.54"/>
    <x v="93"/>
    <x v="6"/>
    <x v="1"/>
  </r>
  <r>
    <x v="1"/>
    <s v="He"/>
    <n v="0.54"/>
    <x v="80"/>
    <x v="1"/>
    <x v="1"/>
  </r>
  <r>
    <x v="1"/>
    <s v="He"/>
    <n v="0.54"/>
    <x v="61"/>
    <x v="11"/>
    <x v="1"/>
  </r>
  <r>
    <x v="1"/>
    <s v="He"/>
    <n v="0.53"/>
    <x v="74"/>
    <x v="1"/>
    <x v="1"/>
  </r>
  <r>
    <x v="1"/>
    <s v="He"/>
    <n v="0.53"/>
    <x v="8"/>
    <x v="6"/>
    <x v="1"/>
  </r>
  <r>
    <x v="1"/>
    <s v="He"/>
    <n v="0.53"/>
    <x v="88"/>
    <x v="11"/>
    <x v="1"/>
  </r>
  <r>
    <x v="1"/>
    <s v="He"/>
    <n v="0.53"/>
    <x v="66"/>
    <x v="13"/>
    <x v="1"/>
  </r>
  <r>
    <x v="1"/>
    <s v="He"/>
    <n v="0.53"/>
    <x v="63"/>
    <x v="9"/>
    <x v="1"/>
  </r>
  <r>
    <x v="1"/>
    <s v="He"/>
    <n v="0.53"/>
    <x v="77"/>
    <x v="2"/>
    <x v="1"/>
  </r>
  <r>
    <x v="1"/>
    <s v="He"/>
    <n v="0.53"/>
    <x v="83"/>
    <x v="8"/>
    <x v="1"/>
  </r>
  <r>
    <x v="1"/>
    <s v="He"/>
    <n v="0.52"/>
    <x v="95"/>
    <x v="13"/>
    <x v="1"/>
  </r>
  <r>
    <x v="1"/>
    <s v="He"/>
    <n v="0.52"/>
    <x v="84"/>
    <x v="3"/>
    <x v="1"/>
  </r>
  <r>
    <x v="1"/>
    <s v="He"/>
    <n v="0.51"/>
    <x v="97"/>
    <x v="3"/>
    <x v="1"/>
  </r>
  <r>
    <x v="1"/>
    <s v="He"/>
    <n v="0.5"/>
    <x v="49"/>
    <x v="3"/>
    <x v="1"/>
  </r>
  <r>
    <x v="0"/>
    <s v="Her"/>
    <n v="0.6"/>
    <x v="1"/>
    <x v="1"/>
    <x v="1"/>
  </r>
  <r>
    <x v="0"/>
    <s v="Her"/>
    <n v="0.57999999999999996"/>
    <x v="10"/>
    <x v="0"/>
    <x v="1"/>
  </r>
  <r>
    <x v="0"/>
    <s v="Her"/>
    <n v="0.57999999999999996"/>
    <x v="35"/>
    <x v="7"/>
    <x v="1"/>
  </r>
  <r>
    <x v="0"/>
    <s v="Her"/>
    <n v="0.57999999999999996"/>
    <x v="13"/>
    <x v="10"/>
    <x v="1"/>
  </r>
  <r>
    <x v="0"/>
    <s v="Her"/>
    <n v="0.56999999999999995"/>
    <x v="43"/>
    <x v="2"/>
    <x v="1"/>
  </r>
  <r>
    <x v="0"/>
    <s v="Her"/>
    <n v="0.56999999999999995"/>
    <x v="0"/>
    <x v="0"/>
    <x v="1"/>
  </r>
  <r>
    <x v="0"/>
    <s v="Her"/>
    <n v="0.56999999999999995"/>
    <x v="38"/>
    <x v="3"/>
    <x v="1"/>
  </r>
  <r>
    <x v="0"/>
    <s v="Her"/>
    <n v="0.56999999999999995"/>
    <x v="34"/>
    <x v="3"/>
    <x v="1"/>
  </r>
  <r>
    <x v="0"/>
    <s v="Her"/>
    <n v="0.56999999999999995"/>
    <x v="20"/>
    <x v="4"/>
    <x v="1"/>
  </r>
  <r>
    <x v="0"/>
    <s v="Her"/>
    <n v="0.56999999999999995"/>
    <x v="46"/>
    <x v="4"/>
    <x v="1"/>
  </r>
  <r>
    <x v="0"/>
    <s v="Her"/>
    <n v="0.56999999999999995"/>
    <x v="39"/>
    <x v="11"/>
    <x v="1"/>
  </r>
  <r>
    <x v="0"/>
    <s v="Her"/>
    <n v="0.56999999999999995"/>
    <x v="42"/>
    <x v="6"/>
    <x v="1"/>
  </r>
  <r>
    <x v="0"/>
    <s v="Her"/>
    <n v="0.56999999999999995"/>
    <x v="9"/>
    <x v="7"/>
    <x v="1"/>
  </r>
  <r>
    <x v="0"/>
    <s v="Her"/>
    <n v="0.56999999999999995"/>
    <x v="71"/>
    <x v="6"/>
    <x v="1"/>
  </r>
  <r>
    <x v="0"/>
    <s v="Her"/>
    <n v="0.56000000000000005"/>
    <x v="94"/>
    <x v="6"/>
    <x v="1"/>
  </r>
  <r>
    <x v="0"/>
    <s v="Her"/>
    <n v="0.56000000000000005"/>
    <x v="2"/>
    <x v="1"/>
    <x v="1"/>
  </r>
  <r>
    <x v="0"/>
    <s v="Her"/>
    <n v="0.56000000000000005"/>
    <x v="31"/>
    <x v="4"/>
    <x v="1"/>
  </r>
  <r>
    <x v="0"/>
    <s v="Her"/>
    <n v="0.56000000000000005"/>
    <x v="54"/>
    <x v="4"/>
    <x v="1"/>
  </r>
  <r>
    <x v="0"/>
    <s v="Her"/>
    <n v="0.56000000000000005"/>
    <x v="32"/>
    <x v="3"/>
    <x v="1"/>
  </r>
  <r>
    <x v="0"/>
    <s v="Her"/>
    <n v="0.56000000000000005"/>
    <x v="21"/>
    <x v="0"/>
    <x v="1"/>
  </r>
  <r>
    <x v="0"/>
    <s v="Her"/>
    <n v="0.56000000000000005"/>
    <x v="6"/>
    <x v="3"/>
    <x v="1"/>
  </r>
  <r>
    <x v="0"/>
    <s v="Her"/>
    <n v="0.56000000000000005"/>
    <x v="19"/>
    <x v="0"/>
    <x v="1"/>
  </r>
  <r>
    <x v="0"/>
    <s v="Her"/>
    <n v="0.56000000000000005"/>
    <x v="28"/>
    <x v="5"/>
    <x v="1"/>
  </r>
  <r>
    <x v="0"/>
    <s v="Her"/>
    <n v="0.56000000000000005"/>
    <x v="5"/>
    <x v="4"/>
    <x v="1"/>
  </r>
  <r>
    <x v="0"/>
    <s v="Her"/>
    <n v="0.56000000000000005"/>
    <x v="16"/>
    <x v="1"/>
    <x v="1"/>
  </r>
  <r>
    <x v="0"/>
    <s v="Her"/>
    <n v="0.56000000000000005"/>
    <x v="17"/>
    <x v="8"/>
    <x v="1"/>
  </r>
  <r>
    <x v="0"/>
    <s v="Her"/>
    <n v="0.56000000000000005"/>
    <x v="91"/>
    <x v="6"/>
    <x v="1"/>
  </r>
  <r>
    <x v="0"/>
    <s v="Her"/>
    <n v="0.56000000000000005"/>
    <x v="11"/>
    <x v="8"/>
    <x v="1"/>
  </r>
  <r>
    <x v="0"/>
    <s v="Her"/>
    <n v="0.56000000000000005"/>
    <x v="55"/>
    <x v="14"/>
    <x v="1"/>
  </r>
  <r>
    <x v="0"/>
    <s v="Her"/>
    <n v="0.56000000000000005"/>
    <x v="22"/>
    <x v="3"/>
    <x v="1"/>
  </r>
  <r>
    <x v="0"/>
    <s v="Her"/>
    <n v="0.56000000000000005"/>
    <x v="3"/>
    <x v="2"/>
    <x v="1"/>
  </r>
  <r>
    <x v="0"/>
    <s v="Her"/>
    <n v="0.56000000000000005"/>
    <x v="44"/>
    <x v="6"/>
    <x v="1"/>
  </r>
  <r>
    <x v="0"/>
    <s v="Her"/>
    <n v="0.56000000000000005"/>
    <x v="7"/>
    <x v="5"/>
    <x v="1"/>
  </r>
  <r>
    <x v="0"/>
    <s v="Her"/>
    <n v="0.56000000000000005"/>
    <x v="81"/>
    <x v="6"/>
    <x v="1"/>
  </r>
  <r>
    <x v="0"/>
    <s v="Her"/>
    <n v="0.56000000000000005"/>
    <x v="56"/>
    <x v="9"/>
    <x v="1"/>
  </r>
  <r>
    <x v="0"/>
    <s v="Her"/>
    <n v="0.55000000000000004"/>
    <x v="36"/>
    <x v="6"/>
    <x v="1"/>
  </r>
  <r>
    <x v="0"/>
    <s v="Her"/>
    <n v="0.55000000000000004"/>
    <x v="53"/>
    <x v="9"/>
    <x v="1"/>
  </r>
  <r>
    <x v="0"/>
    <s v="Her"/>
    <n v="0.55000000000000004"/>
    <x v="87"/>
    <x v="9"/>
    <x v="1"/>
  </r>
  <r>
    <x v="0"/>
    <s v="Her"/>
    <n v="0.55000000000000004"/>
    <x v="96"/>
    <x v="11"/>
    <x v="1"/>
  </r>
  <r>
    <x v="0"/>
    <s v="Her"/>
    <n v="0.55000000000000004"/>
    <x v="33"/>
    <x v="12"/>
    <x v="1"/>
  </r>
  <r>
    <x v="0"/>
    <s v="Her"/>
    <n v="0.55000000000000004"/>
    <x v="29"/>
    <x v="4"/>
    <x v="1"/>
  </r>
  <r>
    <x v="0"/>
    <s v="Her"/>
    <n v="0.55000000000000004"/>
    <x v="41"/>
    <x v="7"/>
    <x v="1"/>
  </r>
  <r>
    <x v="0"/>
    <s v="Her"/>
    <n v="0.55000000000000004"/>
    <x v="52"/>
    <x v="6"/>
    <x v="1"/>
  </r>
  <r>
    <x v="0"/>
    <s v="Her"/>
    <n v="0.55000000000000004"/>
    <x v="62"/>
    <x v="3"/>
    <x v="1"/>
  </r>
  <r>
    <x v="0"/>
    <s v="Her"/>
    <n v="0.55000000000000004"/>
    <x v="8"/>
    <x v="6"/>
    <x v="1"/>
  </r>
  <r>
    <x v="0"/>
    <s v="Her"/>
    <n v="0.55000000000000004"/>
    <x v="64"/>
    <x v="6"/>
    <x v="1"/>
  </r>
  <r>
    <x v="0"/>
    <s v="Her"/>
    <n v="0.55000000000000004"/>
    <x v="48"/>
    <x v="13"/>
    <x v="1"/>
  </r>
  <r>
    <x v="0"/>
    <s v="Her"/>
    <n v="0.55000000000000004"/>
    <x v="76"/>
    <x v="1"/>
    <x v="1"/>
  </r>
  <r>
    <x v="0"/>
    <s v="Her"/>
    <n v="0.55000000000000004"/>
    <x v="72"/>
    <x v="14"/>
    <x v="1"/>
  </r>
  <r>
    <x v="0"/>
    <s v="Her"/>
    <n v="0.55000000000000004"/>
    <x v="30"/>
    <x v="6"/>
    <x v="1"/>
  </r>
  <r>
    <x v="0"/>
    <s v="Her"/>
    <n v="0.54"/>
    <x v="86"/>
    <x v="12"/>
    <x v="1"/>
  </r>
  <r>
    <x v="0"/>
    <s v="Her"/>
    <n v="0.54"/>
    <x v="92"/>
    <x v="10"/>
    <x v="1"/>
  </r>
  <r>
    <x v="0"/>
    <s v="Her"/>
    <n v="0.54"/>
    <x v="47"/>
    <x v="3"/>
    <x v="1"/>
  </r>
  <r>
    <x v="0"/>
    <s v="Her"/>
    <n v="0.54"/>
    <x v="58"/>
    <x v="12"/>
    <x v="1"/>
  </r>
  <r>
    <x v="0"/>
    <s v="Her"/>
    <n v="0.54"/>
    <x v="79"/>
    <x v="10"/>
    <x v="1"/>
  </r>
  <r>
    <x v="0"/>
    <s v="Her"/>
    <n v="0.54"/>
    <x v="50"/>
    <x v="12"/>
    <x v="1"/>
  </r>
  <r>
    <x v="0"/>
    <s v="Her"/>
    <n v="0.54"/>
    <x v="68"/>
    <x v="6"/>
    <x v="1"/>
  </r>
  <r>
    <x v="0"/>
    <s v="Her"/>
    <n v="0.54"/>
    <x v="26"/>
    <x v="6"/>
    <x v="1"/>
  </r>
  <r>
    <x v="0"/>
    <s v="Her"/>
    <n v="0.54"/>
    <x v="70"/>
    <x v="3"/>
    <x v="1"/>
  </r>
  <r>
    <x v="0"/>
    <s v="Her"/>
    <n v="0.54"/>
    <x v="89"/>
    <x v="2"/>
    <x v="1"/>
  </r>
  <r>
    <x v="0"/>
    <s v="Her"/>
    <n v="0.54"/>
    <x v="37"/>
    <x v="3"/>
    <x v="1"/>
  </r>
  <r>
    <x v="0"/>
    <s v="Her"/>
    <n v="0.54"/>
    <x v="77"/>
    <x v="2"/>
    <x v="1"/>
  </r>
  <r>
    <x v="0"/>
    <s v="Her"/>
    <n v="0.54"/>
    <x v="12"/>
    <x v="9"/>
    <x v="1"/>
  </r>
  <r>
    <x v="0"/>
    <s v="Her"/>
    <n v="0.54"/>
    <x v="99"/>
    <x v="3"/>
    <x v="1"/>
  </r>
  <r>
    <x v="0"/>
    <s v="Her"/>
    <n v="0.54"/>
    <x v="63"/>
    <x v="9"/>
    <x v="1"/>
  </r>
  <r>
    <x v="0"/>
    <s v="Her"/>
    <n v="0.54"/>
    <x v="73"/>
    <x v="2"/>
    <x v="1"/>
  </r>
  <r>
    <x v="0"/>
    <s v="Her"/>
    <n v="0.54"/>
    <x v="4"/>
    <x v="3"/>
    <x v="1"/>
  </r>
  <r>
    <x v="0"/>
    <s v="Her"/>
    <n v="0.54"/>
    <x v="27"/>
    <x v="6"/>
    <x v="1"/>
  </r>
  <r>
    <x v="0"/>
    <s v="Her"/>
    <n v="0.54"/>
    <x v="67"/>
    <x v="6"/>
    <x v="1"/>
  </r>
  <r>
    <x v="0"/>
    <s v="Her"/>
    <n v="0.54"/>
    <x v="98"/>
    <x v="13"/>
    <x v="1"/>
  </r>
  <r>
    <x v="0"/>
    <s v="Her"/>
    <n v="0.54"/>
    <x v="15"/>
    <x v="9"/>
    <x v="1"/>
  </r>
  <r>
    <x v="0"/>
    <s v="Her"/>
    <n v="0.54"/>
    <x v="59"/>
    <x v="9"/>
    <x v="1"/>
  </r>
  <r>
    <x v="0"/>
    <s v="Her"/>
    <n v="0.54"/>
    <x v="78"/>
    <x v="6"/>
    <x v="1"/>
  </r>
  <r>
    <x v="0"/>
    <s v="Her"/>
    <n v="0.54"/>
    <x v="14"/>
    <x v="9"/>
    <x v="1"/>
  </r>
  <r>
    <x v="0"/>
    <s v="Her"/>
    <n v="0.54"/>
    <x v="45"/>
    <x v="3"/>
    <x v="1"/>
  </r>
  <r>
    <x v="0"/>
    <s v="Her"/>
    <n v="0.54"/>
    <x v="90"/>
    <x v="11"/>
    <x v="1"/>
  </r>
  <r>
    <x v="0"/>
    <s v="Her"/>
    <n v="0.54"/>
    <x v="57"/>
    <x v="6"/>
    <x v="1"/>
  </r>
  <r>
    <x v="0"/>
    <s v="Her"/>
    <n v="0.53"/>
    <x v="75"/>
    <x v="12"/>
    <x v="1"/>
  </r>
  <r>
    <x v="0"/>
    <s v="Her"/>
    <n v="0.53"/>
    <x v="25"/>
    <x v="0"/>
    <x v="1"/>
  </r>
  <r>
    <x v="0"/>
    <s v="Her"/>
    <n v="0.53"/>
    <x v="85"/>
    <x v="9"/>
    <x v="1"/>
  </r>
  <r>
    <x v="0"/>
    <s v="Her"/>
    <n v="0.53"/>
    <x v="23"/>
    <x v="11"/>
    <x v="1"/>
  </r>
  <r>
    <x v="0"/>
    <s v="Her"/>
    <n v="0.53"/>
    <x v="95"/>
    <x v="13"/>
    <x v="1"/>
  </r>
  <r>
    <x v="0"/>
    <s v="Her"/>
    <n v="0.53"/>
    <x v="93"/>
    <x v="6"/>
    <x v="1"/>
  </r>
  <r>
    <x v="0"/>
    <s v="Her"/>
    <n v="0.53"/>
    <x v="80"/>
    <x v="1"/>
    <x v="1"/>
  </r>
  <r>
    <x v="0"/>
    <s v="Her"/>
    <n v="0.53"/>
    <x v="82"/>
    <x v="9"/>
    <x v="1"/>
  </r>
  <r>
    <x v="0"/>
    <s v="Her"/>
    <n v="0.53"/>
    <x v="61"/>
    <x v="11"/>
    <x v="1"/>
  </r>
  <r>
    <x v="0"/>
    <s v="Her"/>
    <n v="0.53"/>
    <x v="88"/>
    <x v="11"/>
    <x v="1"/>
  </r>
  <r>
    <x v="0"/>
    <s v="Her"/>
    <n v="0.53"/>
    <x v="60"/>
    <x v="6"/>
    <x v="1"/>
  </r>
  <r>
    <x v="0"/>
    <s v="Her"/>
    <n v="0.53"/>
    <x v="83"/>
    <x v="8"/>
    <x v="1"/>
  </r>
  <r>
    <x v="0"/>
    <s v="Her"/>
    <n v="0.53"/>
    <x v="24"/>
    <x v="6"/>
    <x v="1"/>
  </r>
  <r>
    <x v="0"/>
    <s v="Her"/>
    <n v="0.52"/>
    <x v="49"/>
    <x v="3"/>
    <x v="1"/>
  </r>
  <r>
    <x v="0"/>
    <s v="Her"/>
    <n v="0.52"/>
    <x v="40"/>
    <x v="3"/>
    <x v="1"/>
  </r>
  <r>
    <x v="0"/>
    <s v="Her"/>
    <n v="0.52"/>
    <x v="66"/>
    <x v="13"/>
    <x v="1"/>
  </r>
  <r>
    <x v="0"/>
    <s v="Her"/>
    <n v="0.52"/>
    <x v="18"/>
    <x v="11"/>
    <x v="1"/>
  </r>
  <r>
    <x v="0"/>
    <s v="Her"/>
    <n v="0.52"/>
    <x v="65"/>
    <x v="1"/>
    <x v="1"/>
  </r>
  <r>
    <x v="0"/>
    <s v="Her"/>
    <n v="0.52"/>
    <x v="84"/>
    <x v="3"/>
    <x v="1"/>
  </r>
  <r>
    <x v="0"/>
    <s v="Her"/>
    <n v="0.52"/>
    <x v="51"/>
    <x v="5"/>
    <x v="1"/>
  </r>
  <r>
    <x v="0"/>
    <s v="Her"/>
    <n v="0.52"/>
    <x v="74"/>
    <x v="1"/>
    <x v="1"/>
  </r>
  <r>
    <x v="0"/>
    <s v="Her"/>
    <n v="0.51"/>
    <x v="97"/>
    <x v="3"/>
    <x v="1"/>
  </r>
  <r>
    <x v="0"/>
    <s v="Her"/>
    <n v="0.5"/>
    <x v="69"/>
    <x v="9"/>
    <x v="1"/>
  </r>
  <r>
    <x v="0"/>
    <s v="She"/>
    <n v="0.63"/>
    <x v="1"/>
    <x v="1"/>
    <x v="1"/>
  </r>
  <r>
    <x v="0"/>
    <s v="She"/>
    <n v="0.59"/>
    <x v="20"/>
    <x v="4"/>
    <x v="1"/>
  </r>
  <r>
    <x v="0"/>
    <s v="She"/>
    <n v="0.59"/>
    <x v="38"/>
    <x v="3"/>
    <x v="1"/>
  </r>
  <r>
    <x v="0"/>
    <s v="She"/>
    <n v="0.59"/>
    <x v="21"/>
    <x v="0"/>
    <x v="1"/>
  </r>
  <r>
    <x v="0"/>
    <s v="She"/>
    <n v="0.57999999999999996"/>
    <x v="31"/>
    <x v="4"/>
    <x v="1"/>
  </r>
  <r>
    <x v="0"/>
    <s v="She"/>
    <n v="0.57999999999999996"/>
    <x v="17"/>
    <x v="8"/>
    <x v="1"/>
  </r>
  <r>
    <x v="0"/>
    <s v="She"/>
    <n v="0.57999999999999996"/>
    <x v="28"/>
    <x v="5"/>
    <x v="1"/>
  </r>
  <r>
    <x v="0"/>
    <s v="She"/>
    <n v="0.57999999999999996"/>
    <x v="0"/>
    <x v="0"/>
    <x v="1"/>
  </r>
  <r>
    <x v="0"/>
    <s v="She"/>
    <n v="0.57999999999999996"/>
    <x v="41"/>
    <x v="7"/>
    <x v="1"/>
  </r>
  <r>
    <x v="0"/>
    <s v="She"/>
    <n v="0.57999999999999996"/>
    <x v="34"/>
    <x v="3"/>
    <x v="1"/>
  </r>
  <r>
    <x v="0"/>
    <s v="She"/>
    <n v="0.57999999999999996"/>
    <x v="13"/>
    <x v="10"/>
    <x v="1"/>
  </r>
  <r>
    <x v="0"/>
    <s v="She"/>
    <n v="0.57999999999999996"/>
    <x v="22"/>
    <x v="3"/>
    <x v="1"/>
  </r>
  <r>
    <x v="0"/>
    <s v="She"/>
    <n v="0.57999999999999996"/>
    <x v="45"/>
    <x v="3"/>
    <x v="1"/>
  </r>
  <r>
    <x v="0"/>
    <s v="She"/>
    <n v="0.57999999999999996"/>
    <x v="55"/>
    <x v="14"/>
    <x v="1"/>
  </r>
  <r>
    <x v="0"/>
    <s v="She"/>
    <n v="0.57999999999999996"/>
    <x v="36"/>
    <x v="6"/>
    <x v="1"/>
  </r>
  <r>
    <x v="0"/>
    <s v="She"/>
    <n v="0.56999999999999995"/>
    <x v="11"/>
    <x v="8"/>
    <x v="1"/>
  </r>
  <r>
    <x v="0"/>
    <s v="She"/>
    <n v="0.56999999999999995"/>
    <x v="42"/>
    <x v="6"/>
    <x v="1"/>
  </r>
  <r>
    <x v="0"/>
    <s v="She"/>
    <n v="0.56999999999999995"/>
    <x v="87"/>
    <x v="9"/>
    <x v="1"/>
  </r>
  <r>
    <x v="0"/>
    <s v="She"/>
    <n v="0.56999999999999995"/>
    <x v="48"/>
    <x v="13"/>
    <x v="1"/>
  </r>
  <r>
    <x v="0"/>
    <s v="She"/>
    <n v="0.56999999999999995"/>
    <x v="6"/>
    <x v="3"/>
    <x v="1"/>
  </r>
  <r>
    <x v="0"/>
    <s v="She"/>
    <n v="0.56999999999999995"/>
    <x v="33"/>
    <x v="12"/>
    <x v="1"/>
  </r>
  <r>
    <x v="0"/>
    <s v="She"/>
    <n v="0.56999999999999995"/>
    <x v="53"/>
    <x v="9"/>
    <x v="1"/>
  </r>
  <r>
    <x v="0"/>
    <s v="She"/>
    <n v="0.56999999999999995"/>
    <x v="59"/>
    <x v="9"/>
    <x v="1"/>
  </r>
  <r>
    <x v="0"/>
    <s v="She"/>
    <n v="0.56999999999999995"/>
    <x v="81"/>
    <x v="6"/>
    <x v="1"/>
  </r>
  <r>
    <x v="0"/>
    <s v="She"/>
    <n v="0.56999999999999995"/>
    <x v="5"/>
    <x v="4"/>
    <x v="1"/>
  </r>
  <r>
    <x v="0"/>
    <s v="She"/>
    <n v="0.56999999999999995"/>
    <x v="44"/>
    <x v="6"/>
    <x v="1"/>
  </r>
  <r>
    <x v="0"/>
    <s v="She"/>
    <n v="0.56000000000000005"/>
    <x v="43"/>
    <x v="2"/>
    <x v="1"/>
  </r>
  <r>
    <x v="0"/>
    <s v="She"/>
    <n v="0.56000000000000005"/>
    <x v="2"/>
    <x v="1"/>
    <x v="1"/>
  </r>
  <r>
    <x v="0"/>
    <s v="She"/>
    <n v="0.56000000000000005"/>
    <x v="37"/>
    <x v="3"/>
    <x v="1"/>
  </r>
  <r>
    <x v="0"/>
    <s v="She"/>
    <n v="0.56000000000000005"/>
    <x v="3"/>
    <x v="2"/>
    <x v="1"/>
  </r>
  <r>
    <x v="0"/>
    <s v="She"/>
    <n v="0.56000000000000005"/>
    <x v="46"/>
    <x v="4"/>
    <x v="1"/>
  </r>
  <r>
    <x v="0"/>
    <s v="She"/>
    <n v="0.56000000000000005"/>
    <x v="79"/>
    <x v="10"/>
    <x v="1"/>
  </r>
  <r>
    <x v="0"/>
    <s v="She"/>
    <n v="0.56000000000000005"/>
    <x v="32"/>
    <x v="3"/>
    <x v="1"/>
  </r>
  <r>
    <x v="0"/>
    <s v="She"/>
    <n v="0.56000000000000005"/>
    <x v="64"/>
    <x v="6"/>
    <x v="1"/>
  </r>
  <r>
    <x v="0"/>
    <s v="She"/>
    <n v="0.56000000000000005"/>
    <x v="19"/>
    <x v="0"/>
    <x v="1"/>
  </r>
  <r>
    <x v="0"/>
    <s v="She"/>
    <n v="0.56000000000000005"/>
    <x v="29"/>
    <x v="4"/>
    <x v="1"/>
  </r>
  <r>
    <x v="0"/>
    <s v="She"/>
    <n v="0.56000000000000005"/>
    <x v="4"/>
    <x v="3"/>
    <x v="1"/>
  </r>
  <r>
    <x v="0"/>
    <s v="She"/>
    <n v="0.55000000000000004"/>
    <x v="27"/>
    <x v="6"/>
    <x v="1"/>
  </r>
  <r>
    <x v="0"/>
    <s v="She"/>
    <n v="0.55000000000000004"/>
    <x v="56"/>
    <x v="9"/>
    <x v="1"/>
  </r>
  <r>
    <x v="0"/>
    <s v="She"/>
    <n v="0.55000000000000004"/>
    <x v="61"/>
    <x v="11"/>
    <x v="1"/>
  </r>
  <r>
    <x v="0"/>
    <s v="She"/>
    <n v="0.55000000000000004"/>
    <x v="68"/>
    <x v="6"/>
    <x v="1"/>
  </r>
  <r>
    <x v="0"/>
    <s v="She"/>
    <n v="0.55000000000000004"/>
    <x v="86"/>
    <x v="12"/>
    <x v="1"/>
  </r>
  <r>
    <x v="0"/>
    <s v="She"/>
    <n v="0.55000000000000004"/>
    <x v="10"/>
    <x v="0"/>
    <x v="1"/>
  </r>
  <r>
    <x v="0"/>
    <s v="She"/>
    <n v="0.55000000000000004"/>
    <x v="80"/>
    <x v="1"/>
    <x v="1"/>
  </r>
  <r>
    <x v="0"/>
    <s v="She"/>
    <n v="0.55000000000000004"/>
    <x v="71"/>
    <x v="6"/>
    <x v="1"/>
  </r>
  <r>
    <x v="0"/>
    <s v="She"/>
    <n v="0.55000000000000004"/>
    <x v="7"/>
    <x v="5"/>
    <x v="1"/>
  </r>
  <r>
    <x v="0"/>
    <s v="She"/>
    <n v="0.55000000000000004"/>
    <x v="50"/>
    <x v="12"/>
    <x v="1"/>
  </r>
  <r>
    <x v="0"/>
    <s v="She"/>
    <n v="0.55000000000000004"/>
    <x v="70"/>
    <x v="3"/>
    <x v="1"/>
  </r>
  <r>
    <x v="0"/>
    <s v="She"/>
    <n v="0.55000000000000004"/>
    <x v="77"/>
    <x v="2"/>
    <x v="1"/>
  </r>
  <r>
    <x v="0"/>
    <s v="She"/>
    <n v="0.55000000000000004"/>
    <x v="15"/>
    <x v="9"/>
    <x v="1"/>
  </r>
  <r>
    <x v="0"/>
    <s v="She"/>
    <n v="0.54"/>
    <x v="49"/>
    <x v="3"/>
    <x v="1"/>
  </r>
  <r>
    <x v="0"/>
    <s v="She"/>
    <n v="0.54"/>
    <x v="54"/>
    <x v="4"/>
    <x v="1"/>
  </r>
  <r>
    <x v="0"/>
    <s v="She"/>
    <n v="0.54"/>
    <x v="92"/>
    <x v="10"/>
    <x v="1"/>
  </r>
  <r>
    <x v="0"/>
    <s v="She"/>
    <n v="0.54"/>
    <x v="12"/>
    <x v="9"/>
    <x v="1"/>
  </r>
  <r>
    <x v="0"/>
    <s v="She"/>
    <n v="0.54"/>
    <x v="62"/>
    <x v="3"/>
    <x v="1"/>
  </r>
  <r>
    <x v="0"/>
    <s v="She"/>
    <n v="0.54"/>
    <x v="35"/>
    <x v="7"/>
    <x v="1"/>
  </r>
  <r>
    <x v="0"/>
    <s v="She"/>
    <n v="0.54"/>
    <x v="39"/>
    <x v="11"/>
    <x v="1"/>
  </r>
  <r>
    <x v="0"/>
    <s v="She"/>
    <n v="0.54"/>
    <x v="52"/>
    <x v="6"/>
    <x v="1"/>
  </r>
  <r>
    <x v="0"/>
    <s v="She"/>
    <n v="0.54"/>
    <x v="30"/>
    <x v="6"/>
    <x v="1"/>
  </r>
  <r>
    <x v="0"/>
    <s v="She"/>
    <n v="0.54"/>
    <x v="47"/>
    <x v="3"/>
    <x v="1"/>
  </r>
  <r>
    <x v="0"/>
    <s v="She"/>
    <n v="0.54"/>
    <x v="24"/>
    <x v="6"/>
    <x v="1"/>
  </r>
  <r>
    <x v="0"/>
    <s v="She"/>
    <n v="0.54"/>
    <x v="96"/>
    <x v="11"/>
    <x v="1"/>
  </r>
  <r>
    <x v="0"/>
    <s v="She"/>
    <n v="0.54"/>
    <x v="83"/>
    <x v="8"/>
    <x v="1"/>
  </r>
  <r>
    <x v="0"/>
    <s v="She"/>
    <n v="0.54"/>
    <x v="72"/>
    <x v="14"/>
    <x v="1"/>
  </r>
  <r>
    <x v="0"/>
    <s v="She"/>
    <n v="0.54"/>
    <x v="8"/>
    <x v="6"/>
    <x v="1"/>
  </r>
  <r>
    <x v="0"/>
    <s v="She"/>
    <n v="0.54"/>
    <x v="25"/>
    <x v="0"/>
    <x v="1"/>
  </r>
  <r>
    <x v="0"/>
    <s v="She"/>
    <n v="0.53"/>
    <x v="73"/>
    <x v="2"/>
    <x v="1"/>
  </r>
  <r>
    <x v="0"/>
    <s v="She"/>
    <n v="0.53"/>
    <x v="89"/>
    <x v="2"/>
    <x v="1"/>
  </r>
  <r>
    <x v="0"/>
    <s v="She"/>
    <n v="0.53"/>
    <x v="91"/>
    <x v="6"/>
    <x v="1"/>
  </r>
  <r>
    <x v="0"/>
    <s v="She"/>
    <n v="0.53"/>
    <x v="66"/>
    <x v="13"/>
    <x v="1"/>
  </r>
  <r>
    <x v="0"/>
    <s v="She"/>
    <n v="0.53"/>
    <x v="18"/>
    <x v="11"/>
    <x v="1"/>
  </r>
  <r>
    <x v="0"/>
    <s v="She"/>
    <n v="0.53"/>
    <x v="9"/>
    <x v="7"/>
    <x v="1"/>
  </r>
  <r>
    <x v="0"/>
    <s v="She"/>
    <n v="0.53"/>
    <x v="23"/>
    <x v="11"/>
    <x v="1"/>
  </r>
  <r>
    <x v="0"/>
    <s v="She"/>
    <n v="0.53"/>
    <x v="26"/>
    <x v="6"/>
    <x v="1"/>
  </r>
  <r>
    <x v="0"/>
    <s v="She"/>
    <n v="0.53"/>
    <x v="65"/>
    <x v="1"/>
    <x v="1"/>
  </r>
  <r>
    <x v="0"/>
    <s v="She"/>
    <n v="0.53"/>
    <x v="78"/>
    <x v="6"/>
    <x v="1"/>
  </r>
  <r>
    <x v="0"/>
    <s v="She"/>
    <n v="0.53"/>
    <x v="94"/>
    <x v="6"/>
    <x v="1"/>
  </r>
  <r>
    <x v="0"/>
    <s v="She"/>
    <n v="0.53"/>
    <x v="57"/>
    <x v="6"/>
    <x v="1"/>
  </r>
  <r>
    <x v="0"/>
    <s v="She"/>
    <n v="0.53"/>
    <x v="98"/>
    <x v="13"/>
    <x v="1"/>
  </r>
  <r>
    <x v="0"/>
    <s v="She"/>
    <n v="0.53"/>
    <x v="95"/>
    <x v="13"/>
    <x v="1"/>
  </r>
  <r>
    <x v="0"/>
    <s v="She"/>
    <n v="0.53"/>
    <x v="16"/>
    <x v="1"/>
    <x v="1"/>
  </r>
  <r>
    <x v="0"/>
    <s v="She"/>
    <n v="0.52"/>
    <x v="82"/>
    <x v="9"/>
    <x v="1"/>
  </r>
  <r>
    <x v="0"/>
    <s v="She"/>
    <n v="0.52"/>
    <x v="74"/>
    <x v="1"/>
    <x v="1"/>
  </r>
  <r>
    <x v="0"/>
    <s v="She"/>
    <n v="0.52"/>
    <x v="76"/>
    <x v="1"/>
    <x v="1"/>
  </r>
  <r>
    <x v="0"/>
    <s v="She"/>
    <n v="0.52"/>
    <x v="60"/>
    <x v="6"/>
    <x v="1"/>
  </r>
  <r>
    <x v="0"/>
    <s v="She"/>
    <n v="0.52"/>
    <x v="84"/>
    <x v="3"/>
    <x v="1"/>
  </r>
  <r>
    <x v="0"/>
    <s v="She"/>
    <n v="0.52"/>
    <x v="99"/>
    <x v="3"/>
    <x v="1"/>
  </r>
  <r>
    <x v="0"/>
    <s v="She"/>
    <n v="0.52"/>
    <x v="51"/>
    <x v="5"/>
    <x v="1"/>
  </r>
  <r>
    <x v="0"/>
    <s v="She"/>
    <n v="0.52"/>
    <x v="63"/>
    <x v="9"/>
    <x v="1"/>
  </r>
  <r>
    <x v="0"/>
    <s v="She"/>
    <n v="0.52"/>
    <x v="40"/>
    <x v="3"/>
    <x v="1"/>
  </r>
  <r>
    <x v="0"/>
    <s v="She"/>
    <n v="0.52"/>
    <x v="14"/>
    <x v="9"/>
    <x v="1"/>
  </r>
  <r>
    <x v="0"/>
    <s v="She"/>
    <n v="0.52"/>
    <x v="67"/>
    <x v="6"/>
    <x v="1"/>
  </r>
  <r>
    <x v="0"/>
    <s v="She"/>
    <n v="0.52"/>
    <x v="69"/>
    <x v="9"/>
    <x v="1"/>
  </r>
  <r>
    <x v="0"/>
    <s v="She"/>
    <n v="0.52"/>
    <x v="58"/>
    <x v="12"/>
    <x v="1"/>
  </r>
  <r>
    <x v="0"/>
    <s v="She"/>
    <n v="0.51"/>
    <x v="90"/>
    <x v="11"/>
    <x v="1"/>
  </r>
  <r>
    <x v="0"/>
    <s v="She"/>
    <n v="0.51"/>
    <x v="93"/>
    <x v="6"/>
    <x v="1"/>
  </r>
  <r>
    <x v="0"/>
    <s v="She"/>
    <n v="0.51"/>
    <x v="85"/>
    <x v="9"/>
    <x v="1"/>
  </r>
  <r>
    <x v="0"/>
    <s v="She"/>
    <n v="0.5"/>
    <x v="75"/>
    <x v="12"/>
    <x v="1"/>
  </r>
  <r>
    <x v="0"/>
    <s v="She"/>
    <n v="0.5"/>
    <x v="88"/>
    <x v="11"/>
    <x v="1"/>
  </r>
  <r>
    <x v="0"/>
    <s v="She"/>
    <n v="0.49"/>
    <x v="97"/>
    <x v="3"/>
    <x v="1"/>
  </r>
  <r>
    <x v="1"/>
    <s v="His"/>
    <n v="0.6"/>
    <x v="20"/>
    <x v="4"/>
    <x v="1"/>
  </r>
  <r>
    <x v="1"/>
    <s v="His"/>
    <n v="0.6"/>
    <x v="55"/>
    <x v="14"/>
    <x v="1"/>
  </r>
  <r>
    <x v="1"/>
    <s v="His"/>
    <n v="0.6"/>
    <x v="1"/>
    <x v="1"/>
    <x v="1"/>
  </r>
  <r>
    <x v="1"/>
    <s v="His"/>
    <n v="0.59"/>
    <x v="38"/>
    <x v="3"/>
    <x v="1"/>
  </r>
  <r>
    <x v="1"/>
    <s v="His"/>
    <n v="0.57999999999999996"/>
    <x v="36"/>
    <x v="6"/>
    <x v="1"/>
  </r>
  <r>
    <x v="1"/>
    <s v="His"/>
    <n v="0.57999999999999996"/>
    <x v="6"/>
    <x v="3"/>
    <x v="1"/>
  </r>
  <r>
    <x v="1"/>
    <s v="His"/>
    <n v="0.57999999999999996"/>
    <x v="12"/>
    <x v="9"/>
    <x v="1"/>
  </r>
  <r>
    <x v="1"/>
    <s v="His"/>
    <n v="0.57999999999999996"/>
    <x v="43"/>
    <x v="2"/>
    <x v="1"/>
  </r>
  <r>
    <x v="1"/>
    <s v="His"/>
    <n v="0.57999999999999996"/>
    <x v="34"/>
    <x v="3"/>
    <x v="1"/>
  </r>
  <r>
    <x v="1"/>
    <s v="His"/>
    <n v="0.57999999999999996"/>
    <x v="87"/>
    <x v="9"/>
    <x v="1"/>
  </r>
  <r>
    <x v="1"/>
    <s v="His"/>
    <n v="0.56999999999999995"/>
    <x v="45"/>
    <x v="3"/>
    <x v="1"/>
  </r>
  <r>
    <x v="1"/>
    <s v="His"/>
    <n v="0.56999999999999995"/>
    <x v="31"/>
    <x v="4"/>
    <x v="1"/>
  </r>
  <r>
    <x v="1"/>
    <s v="His"/>
    <n v="0.56999999999999995"/>
    <x v="3"/>
    <x v="2"/>
    <x v="1"/>
  </r>
  <r>
    <x v="1"/>
    <s v="His"/>
    <n v="0.56999999999999995"/>
    <x v="48"/>
    <x v="13"/>
    <x v="1"/>
  </r>
  <r>
    <x v="1"/>
    <s v="His"/>
    <n v="0.56999999999999995"/>
    <x v="19"/>
    <x v="0"/>
    <x v="1"/>
  </r>
  <r>
    <x v="1"/>
    <s v="His"/>
    <n v="0.56999999999999995"/>
    <x v="0"/>
    <x v="0"/>
    <x v="1"/>
  </r>
  <r>
    <x v="1"/>
    <s v="His"/>
    <n v="0.56999999999999995"/>
    <x v="21"/>
    <x v="0"/>
    <x v="1"/>
  </r>
  <r>
    <x v="1"/>
    <s v="His"/>
    <n v="0.56999999999999995"/>
    <x v="81"/>
    <x v="6"/>
    <x v="1"/>
  </r>
  <r>
    <x v="1"/>
    <s v="His"/>
    <n v="0.56999999999999995"/>
    <x v="14"/>
    <x v="9"/>
    <x v="1"/>
  </r>
  <r>
    <x v="1"/>
    <s v="His"/>
    <n v="0.56999999999999995"/>
    <x v="17"/>
    <x v="8"/>
    <x v="1"/>
  </r>
  <r>
    <x v="1"/>
    <s v="His"/>
    <n v="0.56999999999999995"/>
    <x v="68"/>
    <x v="6"/>
    <x v="1"/>
  </r>
  <r>
    <x v="1"/>
    <s v="His"/>
    <n v="0.56999999999999995"/>
    <x v="71"/>
    <x v="6"/>
    <x v="1"/>
  </r>
  <r>
    <x v="1"/>
    <s v="His"/>
    <n v="0.56999999999999995"/>
    <x v="28"/>
    <x v="5"/>
    <x v="1"/>
  </r>
  <r>
    <x v="1"/>
    <s v="His"/>
    <n v="0.56999999999999995"/>
    <x v="46"/>
    <x v="4"/>
    <x v="1"/>
  </r>
  <r>
    <x v="1"/>
    <s v="His"/>
    <n v="0.56999999999999995"/>
    <x v="37"/>
    <x v="3"/>
    <x v="1"/>
  </r>
  <r>
    <x v="1"/>
    <s v="His"/>
    <n v="0.56999999999999995"/>
    <x v="30"/>
    <x v="6"/>
    <x v="1"/>
  </r>
  <r>
    <x v="1"/>
    <s v="His"/>
    <n v="0.56000000000000005"/>
    <x v="11"/>
    <x v="8"/>
    <x v="1"/>
  </r>
  <r>
    <x v="1"/>
    <s v="His"/>
    <n v="0.56000000000000005"/>
    <x v="23"/>
    <x v="11"/>
    <x v="1"/>
  </r>
  <r>
    <x v="1"/>
    <s v="His"/>
    <n v="0.56000000000000005"/>
    <x v="13"/>
    <x v="10"/>
    <x v="1"/>
  </r>
  <r>
    <x v="1"/>
    <s v="His"/>
    <n v="0.56000000000000005"/>
    <x v="44"/>
    <x v="6"/>
    <x v="1"/>
  </r>
  <r>
    <x v="1"/>
    <s v="His"/>
    <n v="0.56000000000000005"/>
    <x v="16"/>
    <x v="1"/>
    <x v="1"/>
  </r>
  <r>
    <x v="1"/>
    <s v="His"/>
    <n v="0.56000000000000005"/>
    <x v="10"/>
    <x v="0"/>
    <x v="1"/>
  </r>
  <r>
    <x v="1"/>
    <s v="His"/>
    <n v="0.56000000000000005"/>
    <x v="2"/>
    <x v="1"/>
    <x v="1"/>
  </r>
  <r>
    <x v="1"/>
    <s v="His"/>
    <n v="0.56000000000000005"/>
    <x v="33"/>
    <x v="12"/>
    <x v="1"/>
  </r>
  <r>
    <x v="1"/>
    <s v="His"/>
    <n v="0.56000000000000005"/>
    <x v="9"/>
    <x v="7"/>
    <x v="1"/>
  </r>
  <r>
    <x v="1"/>
    <s v="His"/>
    <n v="0.56000000000000005"/>
    <x v="64"/>
    <x v="6"/>
    <x v="1"/>
  </r>
  <r>
    <x v="1"/>
    <s v="His"/>
    <n v="0.56000000000000005"/>
    <x v="53"/>
    <x v="9"/>
    <x v="1"/>
  </r>
  <r>
    <x v="1"/>
    <s v="His"/>
    <n v="0.56000000000000005"/>
    <x v="57"/>
    <x v="6"/>
    <x v="1"/>
  </r>
  <r>
    <x v="1"/>
    <s v="His"/>
    <n v="0.56000000000000005"/>
    <x v="22"/>
    <x v="3"/>
    <x v="1"/>
  </r>
  <r>
    <x v="1"/>
    <s v="His"/>
    <n v="0.55000000000000004"/>
    <x v="39"/>
    <x v="11"/>
    <x v="1"/>
  </r>
  <r>
    <x v="1"/>
    <s v="His"/>
    <n v="0.55000000000000004"/>
    <x v="29"/>
    <x v="4"/>
    <x v="1"/>
  </r>
  <r>
    <x v="1"/>
    <s v="His"/>
    <n v="0.55000000000000004"/>
    <x v="7"/>
    <x v="5"/>
    <x v="1"/>
  </r>
  <r>
    <x v="1"/>
    <s v="His"/>
    <n v="0.55000000000000004"/>
    <x v="15"/>
    <x v="9"/>
    <x v="1"/>
  </r>
  <r>
    <x v="1"/>
    <s v="His"/>
    <n v="0.55000000000000004"/>
    <x v="56"/>
    <x v="9"/>
    <x v="1"/>
  </r>
  <r>
    <x v="1"/>
    <s v="His"/>
    <n v="0.55000000000000004"/>
    <x v="72"/>
    <x v="14"/>
    <x v="1"/>
  </r>
  <r>
    <x v="1"/>
    <s v="His"/>
    <n v="0.55000000000000004"/>
    <x v="47"/>
    <x v="3"/>
    <x v="1"/>
  </r>
  <r>
    <x v="1"/>
    <s v="His"/>
    <n v="0.55000000000000004"/>
    <x v="86"/>
    <x v="12"/>
    <x v="1"/>
  </r>
  <r>
    <x v="1"/>
    <s v="His"/>
    <n v="0.55000000000000004"/>
    <x v="91"/>
    <x v="6"/>
    <x v="1"/>
  </r>
  <r>
    <x v="1"/>
    <s v="His"/>
    <n v="0.55000000000000004"/>
    <x v="79"/>
    <x v="10"/>
    <x v="1"/>
  </r>
  <r>
    <x v="1"/>
    <s v="His"/>
    <n v="0.55000000000000004"/>
    <x v="66"/>
    <x v="13"/>
    <x v="1"/>
  </r>
  <r>
    <x v="1"/>
    <s v="His"/>
    <n v="0.55000000000000004"/>
    <x v="18"/>
    <x v="11"/>
    <x v="1"/>
  </r>
  <r>
    <x v="1"/>
    <s v="His"/>
    <n v="0.55000000000000004"/>
    <x v="40"/>
    <x v="3"/>
    <x v="1"/>
  </r>
  <r>
    <x v="1"/>
    <s v="His"/>
    <n v="0.55000000000000004"/>
    <x v="67"/>
    <x v="6"/>
    <x v="1"/>
  </r>
  <r>
    <x v="1"/>
    <s v="His"/>
    <n v="0.55000000000000004"/>
    <x v="26"/>
    <x v="6"/>
    <x v="1"/>
  </r>
  <r>
    <x v="1"/>
    <s v="His"/>
    <n v="0.55000000000000004"/>
    <x v="35"/>
    <x v="7"/>
    <x v="1"/>
  </r>
  <r>
    <x v="1"/>
    <s v="His"/>
    <n v="0.55000000000000004"/>
    <x v="74"/>
    <x v="1"/>
    <x v="1"/>
  </r>
  <r>
    <x v="1"/>
    <s v="His"/>
    <n v="0.55000000000000004"/>
    <x v="24"/>
    <x v="6"/>
    <x v="1"/>
  </r>
  <r>
    <x v="1"/>
    <s v="His"/>
    <n v="0.54"/>
    <x v="27"/>
    <x v="6"/>
    <x v="1"/>
  </r>
  <r>
    <x v="1"/>
    <s v="His"/>
    <n v="0.54"/>
    <x v="41"/>
    <x v="7"/>
    <x v="1"/>
  </r>
  <r>
    <x v="1"/>
    <s v="His"/>
    <n v="0.54"/>
    <x v="88"/>
    <x v="11"/>
    <x v="1"/>
  </r>
  <r>
    <x v="1"/>
    <s v="His"/>
    <n v="0.54"/>
    <x v="70"/>
    <x v="3"/>
    <x v="1"/>
  </r>
  <r>
    <x v="1"/>
    <s v="His"/>
    <n v="0.54"/>
    <x v="89"/>
    <x v="2"/>
    <x v="1"/>
  </r>
  <r>
    <x v="1"/>
    <s v="His"/>
    <n v="0.54"/>
    <x v="60"/>
    <x v="6"/>
    <x v="1"/>
  </r>
  <r>
    <x v="1"/>
    <s v="His"/>
    <n v="0.54"/>
    <x v="52"/>
    <x v="6"/>
    <x v="1"/>
  </r>
  <r>
    <x v="1"/>
    <s v="His"/>
    <n v="0.54"/>
    <x v="80"/>
    <x v="1"/>
    <x v="1"/>
  </r>
  <r>
    <x v="1"/>
    <s v="His"/>
    <n v="0.54"/>
    <x v="54"/>
    <x v="4"/>
    <x v="1"/>
  </r>
  <r>
    <x v="1"/>
    <s v="His"/>
    <n v="0.54"/>
    <x v="59"/>
    <x v="9"/>
    <x v="1"/>
  </r>
  <r>
    <x v="1"/>
    <s v="His"/>
    <n v="0.54"/>
    <x v="69"/>
    <x v="9"/>
    <x v="1"/>
  </r>
  <r>
    <x v="1"/>
    <s v="His"/>
    <n v="0.54"/>
    <x v="32"/>
    <x v="3"/>
    <x v="1"/>
  </r>
  <r>
    <x v="1"/>
    <s v="His"/>
    <n v="0.54"/>
    <x v="73"/>
    <x v="2"/>
    <x v="1"/>
  </r>
  <r>
    <x v="1"/>
    <s v="His"/>
    <n v="0.54"/>
    <x v="96"/>
    <x v="11"/>
    <x v="1"/>
  </r>
  <r>
    <x v="1"/>
    <s v="His"/>
    <n v="0.54"/>
    <x v="5"/>
    <x v="4"/>
    <x v="1"/>
  </r>
  <r>
    <x v="1"/>
    <s v="His"/>
    <n v="0.54"/>
    <x v="61"/>
    <x v="11"/>
    <x v="1"/>
  </r>
  <r>
    <x v="1"/>
    <s v="His"/>
    <n v="0.54"/>
    <x v="76"/>
    <x v="1"/>
    <x v="1"/>
  </r>
  <r>
    <x v="1"/>
    <s v="His"/>
    <n v="0.54"/>
    <x v="42"/>
    <x v="6"/>
    <x v="1"/>
  </r>
  <r>
    <x v="1"/>
    <s v="His"/>
    <n v="0.54"/>
    <x v="77"/>
    <x v="2"/>
    <x v="1"/>
  </r>
  <r>
    <x v="1"/>
    <s v="His"/>
    <n v="0.54"/>
    <x v="75"/>
    <x v="12"/>
    <x v="1"/>
  </r>
  <r>
    <x v="1"/>
    <s v="His"/>
    <n v="0.54"/>
    <x v="92"/>
    <x v="10"/>
    <x v="1"/>
  </r>
  <r>
    <x v="1"/>
    <s v="His"/>
    <n v="0.54"/>
    <x v="8"/>
    <x v="6"/>
    <x v="1"/>
  </r>
  <r>
    <x v="1"/>
    <s v="His"/>
    <n v="0.53"/>
    <x v="90"/>
    <x v="11"/>
    <x v="1"/>
  </r>
  <r>
    <x v="1"/>
    <s v="His"/>
    <n v="0.53"/>
    <x v="4"/>
    <x v="3"/>
    <x v="1"/>
  </r>
  <r>
    <x v="1"/>
    <s v="His"/>
    <n v="0.53"/>
    <x v="82"/>
    <x v="9"/>
    <x v="1"/>
  </r>
  <r>
    <x v="1"/>
    <s v="His"/>
    <n v="0.53"/>
    <x v="83"/>
    <x v="8"/>
    <x v="1"/>
  </r>
  <r>
    <x v="1"/>
    <s v="His"/>
    <n v="0.53"/>
    <x v="85"/>
    <x v="9"/>
    <x v="1"/>
  </r>
  <r>
    <x v="1"/>
    <s v="His"/>
    <n v="0.53"/>
    <x v="25"/>
    <x v="0"/>
    <x v="1"/>
  </r>
  <r>
    <x v="1"/>
    <s v="His"/>
    <n v="0.53"/>
    <x v="99"/>
    <x v="3"/>
    <x v="1"/>
  </r>
  <r>
    <x v="1"/>
    <s v="His"/>
    <n v="0.53"/>
    <x v="51"/>
    <x v="5"/>
    <x v="1"/>
  </r>
  <r>
    <x v="1"/>
    <s v="His"/>
    <n v="0.53"/>
    <x v="84"/>
    <x v="3"/>
    <x v="1"/>
  </r>
  <r>
    <x v="1"/>
    <s v="His"/>
    <n v="0.53"/>
    <x v="78"/>
    <x v="6"/>
    <x v="1"/>
  </r>
  <r>
    <x v="1"/>
    <s v="His"/>
    <n v="0.53"/>
    <x v="94"/>
    <x v="6"/>
    <x v="1"/>
  </r>
  <r>
    <x v="1"/>
    <s v="His"/>
    <n v="0.53"/>
    <x v="50"/>
    <x v="12"/>
    <x v="1"/>
  </r>
  <r>
    <x v="1"/>
    <s v="His"/>
    <n v="0.52"/>
    <x v="58"/>
    <x v="12"/>
    <x v="1"/>
  </r>
  <r>
    <x v="1"/>
    <s v="His"/>
    <n v="0.52"/>
    <x v="93"/>
    <x v="6"/>
    <x v="1"/>
  </r>
  <r>
    <x v="1"/>
    <s v="His"/>
    <n v="0.52"/>
    <x v="63"/>
    <x v="9"/>
    <x v="1"/>
  </r>
  <r>
    <x v="1"/>
    <s v="His"/>
    <n v="0.51"/>
    <x v="65"/>
    <x v="1"/>
    <x v="1"/>
  </r>
  <r>
    <x v="1"/>
    <s v="His"/>
    <n v="0.51"/>
    <x v="62"/>
    <x v="3"/>
    <x v="1"/>
  </r>
  <r>
    <x v="1"/>
    <s v="His"/>
    <n v="0.51"/>
    <x v="98"/>
    <x v="13"/>
    <x v="1"/>
  </r>
  <r>
    <x v="1"/>
    <s v="His"/>
    <n v="0.51"/>
    <x v="95"/>
    <x v="13"/>
    <x v="1"/>
  </r>
  <r>
    <x v="1"/>
    <s v="His"/>
    <n v="0.51"/>
    <x v="97"/>
    <x v="3"/>
    <x v="1"/>
  </r>
  <r>
    <x v="1"/>
    <s v="His"/>
    <n v="0.5"/>
    <x v="49"/>
    <x v="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E5F2DC-B8F4-4F6C-BB77-78FAA309B8F6}" name="PivotTable1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gridDropZones="1" multipleFieldFilters="0">
  <location ref="A3:D120" firstHeaderRow="1" firstDataRow="2" firstDataCol="2" rowPageCount="1" colPageCount="1"/>
  <pivotFields count="6">
    <pivotField axis="axisCol" compact="0" outline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01">
        <item x="53"/>
        <item x="87"/>
        <item x="35"/>
        <item x="52"/>
        <item x="16"/>
        <item x="81"/>
        <item x="43"/>
        <item x="8"/>
        <item x="56"/>
        <item x="33"/>
        <item x="13"/>
        <item x="1"/>
        <item x="68"/>
        <item x="23"/>
        <item x="18"/>
        <item x="61"/>
        <item x="90"/>
        <item x="88"/>
        <item x="30"/>
        <item x="73"/>
        <item x="83"/>
        <item x="19"/>
        <item x="63"/>
        <item x="78"/>
        <item x="71"/>
        <item x="26"/>
        <item x="47"/>
        <item x="37"/>
        <item x="60"/>
        <item x="0"/>
        <item x="42"/>
        <item x="11"/>
        <item x="5"/>
        <item x="57"/>
        <item x="76"/>
        <item x="9"/>
        <item x="14"/>
        <item x="2"/>
        <item x="24"/>
        <item x="4"/>
        <item x="25"/>
        <item x="54"/>
        <item x="12"/>
        <item x="20"/>
        <item x="74"/>
        <item x="7"/>
        <item x="85"/>
        <item x="69"/>
        <item x="94"/>
        <item x="21"/>
        <item x="3"/>
        <item x="77"/>
        <item x="46"/>
        <item x="62"/>
        <item x="65"/>
        <item x="59"/>
        <item x="98"/>
        <item x="75"/>
        <item x="50"/>
        <item x="36"/>
        <item x="27"/>
        <item x="49"/>
        <item x="99"/>
        <item x="41"/>
        <item x="93"/>
        <item x="89"/>
        <item x="51"/>
        <item x="45"/>
        <item x="84"/>
        <item x="70"/>
        <item x="17"/>
        <item x="15"/>
        <item x="39"/>
        <item x="72"/>
        <item x="34"/>
        <item x="86"/>
        <item x="67"/>
        <item x="40"/>
        <item x="55"/>
        <item x="28"/>
        <item x="22"/>
        <item x="80"/>
        <item x="92"/>
        <item x="79"/>
        <item x="29"/>
        <item x="96"/>
        <item x="58"/>
        <item x="32"/>
        <item x="44"/>
        <item x="64"/>
        <item x="97"/>
        <item x="95"/>
        <item x="38"/>
        <item x="82"/>
        <item x="48"/>
        <item x="31"/>
        <item x="91"/>
        <item x="10"/>
        <item x="6"/>
        <item x="6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6">
        <item x="7"/>
        <item x="0"/>
        <item x="4"/>
        <item x="9"/>
        <item x="3"/>
        <item x="1"/>
        <item x="5"/>
        <item x="2"/>
        <item x="11"/>
        <item x="12"/>
        <item x="13"/>
        <item x="14"/>
        <item x="10"/>
        <item x="6"/>
        <item x="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"/>
    <field x="3"/>
  </rowFields>
  <rowItems count="116">
    <i>
      <x/>
      <x v="2"/>
    </i>
    <i r="1">
      <x v="35"/>
    </i>
    <i r="1">
      <x v="63"/>
    </i>
    <i t="default">
      <x/>
    </i>
    <i>
      <x v="1"/>
      <x v="21"/>
    </i>
    <i r="1">
      <x v="29"/>
    </i>
    <i r="1">
      <x v="40"/>
    </i>
    <i r="1">
      <x v="49"/>
    </i>
    <i r="1">
      <x v="97"/>
    </i>
    <i t="default">
      <x v="1"/>
    </i>
    <i>
      <x v="2"/>
      <x v="32"/>
    </i>
    <i r="1">
      <x v="41"/>
    </i>
    <i r="1">
      <x v="43"/>
    </i>
    <i r="1">
      <x v="52"/>
    </i>
    <i r="1">
      <x v="84"/>
    </i>
    <i r="1">
      <x v="95"/>
    </i>
    <i t="default">
      <x v="2"/>
    </i>
    <i>
      <x v="3"/>
      <x/>
    </i>
    <i r="1">
      <x v="1"/>
    </i>
    <i r="1">
      <x v="8"/>
    </i>
    <i r="1">
      <x v="22"/>
    </i>
    <i r="1">
      <x v="36"/>
    </i>
    <i r="1">
      <x v="42"/>
    </i>
    <i r="1">
      <x v="46"/>
    </i>
    <i r="1">
      <x v="47"/>
    </i>
    <i r="1">
      <x v="55"/>
    </i>
    <i r="1">
      <x v="71"/>
    </i>
    <i r="1">
      <x v="93"/>
    </i>
    <i t="default">
      <x v="3"/>
    </i>
    <i>
      <x v="4"/>
      <x v="26"/>
    </i>
    <i r="1">
      <x v="27"/>
    </i>
    <i r="1">
      <x v="39"/>
    </i>
    <i r="1">
      <x v="53"/>
    </i>
    <i r="1">
      <x v="61"/>
    </i>
    <i r="1">
      <x v="62"/>
    </i>
    <i r="1">
      <x v="67"/>
    </i>
    <i r="1">
      <x v="68"/>
    </i>
    <i r="1">
      <x v="69"/>
    </i>
    <i r="1">
      <x v="74"/>
    </i>
    <i r="1">
      <x v="77"/>
    </i>
    <i r="1">
      <x v="80"/>
    </i>
    <i r="1">
      <x v="87"/>
    </i>
    <i r="1">
      <x v="90"/>
    </i>
    <i r="1">
      <x v="92"/>
    </i>
    <i r="1">
      <x v="98"/>
    </i>
    <i t="default">
      <x v="4"/>
    </i>
    <i>
      <x v="5"/>
      <x v="4"/>
    </i>
    <i r="1">
      <x v="11"/>
    </i>
    <i r="1">
      <x v="34"/>
    </i>
    <i r="1">
      <x v="37"/>
    </i>
    <i r="1">
      <x v="44"/>
    </i>
    <i r="1">
      <x v="54"/>
    </i>
    <i r="1">
      <x v="81"/>
    </i>
    <i t="default">
      <x v="5"/>
    </i>
    <i>
      <x v="6"/>
      <x v="45"/>
    </i>
    <i r="1">
      <x v="66"/>
    </i>
    <i r="1">
      <x v="79"/>
    </i>
    <i t="default">
      <x v="6"/>
    </i>
    <i>
      <x v="7"/>
      <x v="6"/>
    </i>
    <i r="1">
      <x v="19"/>
    </i>
    <i r="1">
      <x v="50"/>
    </i>
    <i r="1">
      <x v="51"/>
    </i>
    <i r="1">
      <x v="65"/>
    </i>
    <i t="default">
      <x v="7"/>
    </i>
    <i>
      <x v="8"/>
      <x v="13"/>
    </i>
    <i r="1">
      <x v="14"/>
    </i>
    <i r="1">
      <x v="15"/>
    </i>
    <i r="1">
      <x v="16"/>
    </i>
    <i r="1">
      <x v="17"/>
    </i>
    <i r="1">
      <x v="72"/>
    </i>
    <i r="1">
      <x v="85"/>
    </i>
    <i t="default">
      <x v="8"/>
    </i>
    <i>
      <x v="9"/>
      <x v="9"/>
    </i>
    <i r="1">
      <x v="57"/>
    </i>
    <i r="1">
      <x v="58"/>
    </i>
    <i r="1">
      <x v="75"/>
    </i>
    <i r="1">
      <x v="86"/>
    </i>
    <i t="default">
      <x v="9"/>
    </i>
    <i>
      <x v="10"/>
      <x v="56"/>
    </i>
    <i r="1">
      <x v="91"/>
    </i>
    <i r="1">
      <x v="94"/>
    </i>
    <i r="1">
      <x v="99"/>
    </i>
    <i t="default">
      <x v="10"/>
    </i>
    <i>
      <x v="11"/>
      <x v="73"/>
    </i>
    <i r="1">
      <x v="78"/>
    </i>
    <i t="default">
      <x v="11"/>
    </i>
    <i>
      <x v="12"/>
      <x v="10"/>
    </i>
    <i r="1">
      <x v="82"/>
    </i>
    <i r="1">
      <x v="83"/>
    </i>
    <i t="default">
      <x v="12"/>
    </i>
    <i>
      <x v="13"/>
      <x v="3"/>
    </i>
    <i r="1">
      <x v="5"/>
    </i>
    <i r="1">
      <x v="7"/>
    </i>
    <i r="1">
      <x v="12"/>
    </i>
    <i r="1">
      <x v="18"/>
    </i>
    <i r="1">
      <x v="23"/>
    </i>
    <i r="1">
      <x v="24"/>
    </i>
    <i r="1">
      <x v="25"/>
    </i>
    <i r="1">
      <x v="28"/>
    </i>
    <i r="1">
      <x v="30"/>
    </i>
    <i r="1">
      <x v="33"/>
    </i>
    <i r="1">
      <x v="38"/>
    </i>
    <i r="1">
      <x v="48"/>
    </i>
    <i r="1">
      <x v="59"/>
    </i>
    <i r="1">
      <x v="60"/>
    </i>
    <i r="1">
      <x v="64"/>
    </i>
    <i r="1">
      <x v="76"/>
    </i>
    <i r="1">
      <x v="88"/>
    </i>
    <i r="1">
      <x v="89"/>
    </i>
    <i r="1">
      <x v="96"/>
    </i>
    <i t="default">
      <x v="13"/>
    </i>
    <i>
      <x v="14"/>
      <x v="20"/>
    </i>
    <i r="1">
      <x v="31"/>
    </i>
    <i r="1">
      <x v="70"/>
    </i>
    <i t="default">
      <x v="14"/>
    </i>
    <i t="grand">
      <x/>
    </i>
  </rowItems>
  <colFields count="1">
    <field x="0"/>
  </colFields>
  <colItems count="2">
    <i>
      <x/>
    </i>
    <i>
      <x v="1"/>
    </i>
  </colItems>
  <pageFields count="1">
    <pageField fld="5" hier="-1"/>
  </pageFields>
  <dataFields count="1">
    <dataField name="Sum of Scor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3B50E-0F77-4D6E-999C-3A48FC86342C}">
  <dimension ref="A1:J123"/>
  <sheetViews>
    <sheetView tabSelected="1" workbookViewId="0">
      <selection activeCell="D4" sqref="D4"/>
    </sheetView>
  </sheetViews>
  <sheetFormatPr defaultRowHeight="15" x14ac:dyDescent="0.25"/>
  <cols>
    <col min="1" max="1" width="30.5703125" bestFit="1" customWidth="1"/>
    <col min="2" max="2" width="26.85546875" bestFit="1" customWidth="1"/>
    <col min="3" max="3" width="14.85546875" bestFit="1" customWidth="1"/>
    <col min="4" max="4" width="7" bestFit="1" customWidth="1"/>
    <col min="5" max="6" width="9.140625" style="2"/>
    <col min="7" max="7" width="17.28515625" bestFit="1" customWidth="1"/>
    <col min="8" max="8" width="2" style="7" customWidth="1"/>
    <col min="9" max="9" width="25" bestFit="1" customWidth="1"/>
    <col min="10" max="10" width="20.7109375" bestFit="1" customWidth="1"/>
  </cols>
  <sheetData>
    <row r="1" spans="1:10" x14ac:dyDescent="0.25">
      <c r="A1" s="1" t="s">
        <v>111</v>
      </c>
      <c r="B1" t="s">
        <v>150</v>
      </c>
    </row>
    <row r="3" spans="1:10" x14ac:dyDescent="0.25">
      <c r="A3" s="1" t="s">
        <v>130</v>
      </c>
      <c r="C3" s="1" t="s">
        <v>109</v>
      </c>
      <c r="E3" s="6" t="s">
        <v>148</v>
      </c>
      <c r="F3" s="6"/>
    </row>
    <row r="4" spans="1:10" x14ac:dyDescent="0.25">
      <c r="A4" s="1" t="s">
        <v>110</v>
      </c>
      <c r="B4" s="1" t="s">
        <v>2</v>
      </c>
      <c r="C4" t="s">
        <v>3</v>
      </c>
      <c r="D4" t="s">
        <v>104</v>
      </c>
      <c r="E4" s="4" t="s">
        <v>3</v>
      </c>
      <c r="F4" s="4" t="s">
        <v>104</v>
      </c>
      <c r="G4" s="4" t="s">
        <v>149</v>
      </c>
      <c r="H4" s="8"/>
      <c r="I4" s="5"/>
      <c r="J4" s="5"/>
    </row>
    <row r="5" spans="1:10" x14ac:dyDescent="0.25">
      <c r="A5" t="s">
        <v>125</v>
      </c>
      <c r="B5" t="s">
        <v>39</v>
      </c>
      <c r="C5">
        <v>2.31</v>
      </c>
      <c r="D5">
        <v>2.2000000000000002</v>
      </c>
      <c r="E5" s="2">
        <f>($C5-C$122)/C$123</f>
        <v>0.78201504700197877</v>
      </c>
      <c r="F5" s="2">
        <f>($D5-D$122)/D$123</f>
        <v>0.2233147370902426</v>
      </c>
      <c r="G5" s="5">
        <f>F5-E5</f>
        <v>-0.55870030991173614</v>
      </c>
      <c r="H5" s="9"/>
    </row>
    <row r="6" spans="1:10" x14ac:dyDescent="0.25">
      <c r="A6" t="s">
        <v>125</v>
      </c>
      <c r="B6" t="s">
        <v>13</v>
      </c>
      <c r="C6">
        <v>2.41</v>
      </c>
      <c r="D6">
        <v>2.27</v>
      </c>
      <c r="E6" s="2">
        <f t="shared" ref="E6:E69" si="0">($C6-C$122)/C$123</f>
        <v>1.4783775109396229</v>
      </c>
      <c r="F6" s="2">
        <f t="shared" ref="F6:F69" si="1">($D6-D$122)/D$123</f>
        <v>0.72434139081836224</v>
      </c>
      <c r="G6" s="5">
        <f t="shared" ref="G6:G68" si="2">F6-E6</f>
        <v>-0.75403612012126064</v>
      </c>
      <c r="H6" s="9"/>
    </row>
    <row r="7" spans="1:10" x14ac:dyDescent="0.25">
      <c r="A7" t="s">
        <v>125</v>
      </c>
      <c r="B7" t="s">
        <v>45</v>
      </c>
      <c r="C7">
        <v>2.38</v>
      </c>
      <c r="D7">
        <v>2.1100000000000003</v>
      </c>
      <c r="E7" s="2">
        <f t="shared" si="0"/>
        <v>1.2694687717583282</v>
      </c>
      <c r="F7" s="2">
        <f t="shared" si="1"/>
        <v>-0.42086238913162594</v>
      </c>
      <c r="G7" s="5">
        <f t="shared" si="2"/>
        <v>-1.6903311608899541</v>
      </c>
      <c r="H7" s="9"/>
    </row>
    <row r="8" spans="1:10" x14ac:dyDescent="0.25">
      <c r="A8" t="s">
        <v>131</v>
      </c>
      <c r="C8">
        <v>7.1000000000000005</v>
      </c>
      <c r="D8">
        <v>6.580000000000001</v>
      </c>
      <c r="G8" s="5"/>
      <c r="H8" s="9"/>
    </row>
    <row r="9" spans="1:10" x14ac:dyDescent="0.25">
      <c r="A9" t="s">
        <v>117</v>
      </c>
      <c r="B9" t="s">
        <v>23</v>
      </c>
      <c r="C9">
        <v>2.33</v>
      </c>
      <c r="D9">
        <v>2.2999999999999998</v>
      </c>
      <c r="E9" s="2">
        <f t="shared" si="0"/>
        <v>0.92128753978950761</v>
      </c>
      <c r="F9" s="2">
        <f t="shared" si="1"/>
        <v>0.93906709955898404</v>
      </c>
      <c r="G9" s="5">
        <f t="shared" si="2"/>
        <v>1.7779559769476427E-2</v>
      </c>
      <c r="H9" s="9"/>
    </row>
    <row r="10" spans="1:10" x14ac:dyDescent="0.25">
      <c r="A10" t="s">
        <v>117</v>
      </c>
      <c r="B10" t="s">
        <v>4</v>
      </c>
      <c r="C10">
        <v>2.6</v>
      </c>
      <c r="D10">
        <v>2.5999999999999996</v>
      </c>
      <c r="E10" s="2">
        <f t="shared" si="0"/>
        <v>2.8014661924211453</v>
      </c>
      <c r="F10" s="2">
        <f t="shared" si="1"/>
        <v>3.0863241869652147</v>
      </c>
      <c r="G10" s="5">
        <f t="shared" si="2"/>
        <v>0.28485799454406946</v>
      </c>
      <c r="H10" s="9"/>
    </row>
    <row r="11" spans="1:10" x14ac:dyDescent="0.25">
      <c r="A11" t="s">
        <v>117</v>
      </c>
      <c r="B11" t="s">
        <v>29</v>
      </c>
      <c r="C11">
        <v>2.21</v>
      </c>
      <c r="D11">
        <v>2.16</v>
      </c>
      <c r="E11" s="2">
        <f t="shared" si="0"/>
        <v>8.5652583064334639E-2</v>
      </c>
      <c r="F11" s="2">
        <f t="shared" si="1"/>
        <v>-6.2986207897255245E-2</v>
      </c>
      <c r="G11" s="5">
        <f t="shared" si="2"/>
        <v>-0.14863879096158988</v>
      </c>
      <c r="H11" s="9"/>
    </row>
    <row r="12" spans="1:10" x14ac:dyDescent="0.25">
      <c r="A12" t="s">
        <v>117</v>
      </c>
      <c r="B12" t="s">
        <v>25</v>
      </c>
      <c r="C12">
        <v>2.36</v>
      </c>
      <c r="D12">
        <v>2.3199999999999998</v>
      </c>
      <c r="E12" s="2">
        <f t="shared" si="0"/>
        <v>1.1301962789707993</v>
      </c>
      <c r="F12" s="2">
        <f t="shared" si="1"/>
        <v>1.0822175720527329</v>
      </c>
      <c r="G12" s="5">
        <f t="shared" si="2"/>
        <v>-4.7978706918066383E-2</v>
      </c>
      <c r="H12" s="9"/>
    </row>
    <row r="13" spans="1:10" x14ac:dyDescent="0.25">
      <c r="A13" t="s">
        <v>117</v>
      </c>
      <c r="B13" t="s">
        <v>14</v>
      </c>
      <c r="C13">
        <v>2.4299999999999997</v>
      </c>
      <c r="D13">
        <v>2.34</v>
      </c>
      <c r="E13" s="2">
        <f t="shared" si="0"/>
        <v>1.6176500037271486</v>
      </c>
      <c r="F13" s="2">
        <f t="shared" si="1"/>
        <v>1.2253680445464818</v>
      </c>
      <c r="G13" s="5">
        <f t="shared" si="2"/>
        <v>-0.39228195918066677</v>
      </c>
      <c r="H13" s="9"/>
    </row>
    <row r="14" spans="1:10" x14ac:dyDescent="0.25">
      <c r="A14" t="s">
        <v>132</v>
      </c>
      <c r="C14">
        <v>11.93</v>
      </c>
      <c r="D14">
        <v>11.719999999999999</v>
      </c>
      <c r="G14" s="5">
        <f t="shared" si="2"/>
        <v>0</v>
      </c>
      <c r="H14" s="9"/>
    </row>
    <row r="15" spans="1:10" x14ac:dyDescent="0.25">
      <c r="A15" t="s">
        <v>120</v>
      </c>
      <c r="B15" t="s">
        <v>9</v>
      </c>
      <c r="C15">
        <v>2.44</v>
      </c>
      <c r="D15">
        <v>2.16</v>
      </c>
      <c r="E15" s="2">
        <f t="shared" si="0"/>
        <v>1.6872862501209147</v>
      </c>
      <c r="F15" s="2">
        <f t="shared" si="1"/>
        <v>-6.2986207897255245E-2</v>
      </c>
      <c r="G15" s="5">
        <f t="shared" si="2"/>
        <v>-1.7502724580181699</v>
      </c>
      <c r="H15" s="9"/>
    </row>
    <row r="16" spans="1:10" x14ac:dyDescent="0.25">
      <c r="A16" t="s">
        <v>120</v>
      </c>
      <c r="B16" t="s">
        <v>58</v>
      </c>
      <c r="C16">
        <v>2.29</v>
      </c>
      <c r="D16">
        <v>2.21</v>
      </c>
      <c r="E16" s="2">
        <f t="shared" si="0"/>
        <v>0.64274255421444992</v>
      </c>
      <c r="F16" s="2">
        <f t="shared" si="1"/>
        <v>0.29488997333711547</v>
      </c>
      <c r="G16" s="5">
        <f t="shared" si="2"/>
        <v>-0.34785258087733445</v>
      </c>
      <c r="H16" s="9"/>
    </row>
    <row r="17" spans="1:8" x14ac:dyDescent="0.25">
      <c r="A17" t="s">
        <v>120</v>
      </c>
      <c r="B17" t="s">
        <v>24</v>
      </c>
      <c r="C17">
        <v>2.4699999999999998</v>
      </c>
      <c r="D17">
        <v>2.4099999999999997</v>
      </c>
      <c r="E17" s="2">
        <f t="shared" si="0"/>
        <v>1.8961949893022063</v>
      </c>
      <c r="F17" s="2">
        <f t="shared" si="1"/>
        <v>1.7263946982746015</v>
      </c>
      <c r="G17" s="5">
        <f t="shared" si="2"/>
        <v>-0.16980029102760485</v>
      </c>
      <c r="H17" s="9"/>
    </row>
    <row r="18" spans="1:8" x14ac:dyDescent="0.25">
      <c r="A18" t="s">
        <v>120</v>
      </c>
      <c r="B18" t="s">
        <v>50</v>
      </c>
      <c r="C18">
        <v>2.39</v>
      </c>
      <c r="D18">
        <v>2.2999999999999998</v>
      </c>
      <c r="E18" s="2">
        <f t="shared" si="0"/>
        <v>1.339105018152094</v>
      </c>
      <c r="F18" s="2">
        <f t="shared" si="1"/>
        <v>0.93906709955898404</v>
      </c>
      <c r="G18" s="5">
        <f t="shared" si="2"/>
        <v>-0.40003791859311</v>
      </c>
      <c r="H18" s="9"/>
    </row>
    <row r="19" spans="1:8" x14ac:dyDescent="0.25">
      <c r="A19" t="s">
        <v>120</v>
      </c>
      <c r="B19" t="s">
        <v>33</v>
      </c>
      <c r="C19">
        <v>2.2999999999999998</v>
      </c>
      <c r="D19">
        <v>2.1900000000000004</v>
      </c>
      <c r="E19" s="2">
        <f t="shared" si="0"/>
        <v>0.71237880060821279</v>
      </c>
      <c r="F19" s="2">
        <f t="shared" si="1"/>
        <v>0.15173950084336973</v>
      </c>
      <c r="G19" s="5">
        <f t="shared" si="2"/>
        <v>-0.56063929976484306</v>
      </c>
      <c r="H19" s="9"/>
    </row>
    <row r="20" spans="1:8" x14ac:dyDescent="0.25">
      <c r="A20" t="s">
        <v>120</v>
      </c>
      <c r="B20" t="s">
        <v>35</v>
      </c>
      <c r="C20">
        <v>2.2400000000000002</v>
      </c>
      <c r="D20">
        <v>2.2599999999999998</v>
      </c>
      <c r="E20" s="2">
        <f t="shared" si="0"/>
        <v>0.29456132224562942</v>
      </c>
      <c r="F20" s="2">
        <f t="shared" si="1"/>
        <v>0.65276615457148612</v>
      </c>
      <c r="G20" s="5">
        <f t="shared" si="2"/>
        <v>0.3582048323258567</v>
      </c>
      <c r="H20" s="9"/>
    </row>
    <row r="21" spans="1:8" x14ac:dyDescent="0.25">
      <c r="A21" t="s">
        <v>133</v>
      </c>
      <c r="C21">
        <v>14.13</v>
      </c>
      <c r="D21">
        <v>13.53</v>
      </c>
      <c r="G21" s="5">
        <f t="shared" si="2"/>
        <v>0</v>
      </c>
      <c r="H21" s="9"/>
    </row>
    <row r="22" spans="1:8" x14ac:dyDescent="0.25">
      <c r="A22" t="s">
        <v>115</v>
      </c>
      <c r="B22" t="s">
        <v>57</v>
      </c>
      <c r="C22">
        <v>2.2200000000000002</v>
      </c>
      <c r="D22">
        <v>2.23</v>
      </c>
      <c r="E22" s="2">
        <f t="shared" si="0"/>
        <v>0.1552888294581006</v>
      </c>
      <c r="F22" s="2">
        <f t="shared" si="1"/>
        <v>0.43804044583086438</v>
      </c>
      <c r="G22" s="5">
        <f t="shared" si="2"/>
        <v>0.2827516163727638</v>
      </c>
      <c r="H22" s="9"/>
    </row>
    <row r="23" spans="1:8" x14ac:dyDescent="0.25">
      <c r="A23" t="s">
        <v>115</v>
      </c>
      <c r="B23" t="s">
        <v>91</v>
      </c>
      <c r="C23">
        <v>2.2200000000000002</v>
      </c>
      <c r="D23">
        <v>2.2400000000000002</v>
      </c>
      <c r="E23" s="2">
        <f t="shared" si="0"/>
        <v>0.1552888294581006</v>
      </c>
      <c r="F23" s="2">
        <f t="shared" si="1"/>
        <v>0.50961568207774044</v>
      </c>
      <c r="G23" s="5">
        <f t="shared" si="2"/>
        <v>0.35432685261963981</v>
      </c>
      <c r="H23" s="9"/>
    </row>
    <row r="24" spans="1:8" x14ac:dyDescent="0.25">
      <c r="A24" t="s">
        <v>115</v>
      </c>
      <c r="B24" t="s">
        <v>60</v>
      </c>
      <c r="C24">
        <v>2.2300000000000004</v>
      </c>
      <c r="D24">
        <v>2.13</v>
      </c>
      <c r="E24" s="2">
        <f t="shared" si="0"/>
        <v>0.22492507585186655</v>
      </c>
      <c r="F24" s="2">
        <f t="shared" si="1"/>
        <v>-0.2777119166378802</v>
      </c>
      <c r="G24" s="5">
        <f t="shared" si="2"/>
        <v>-0.50263699248974669</v>
      </c>
      <c r="H24" s="9"/>
    </row>
    <row r="25" spans="1:8" x14ac:dyDescent="0.25">
      <c r="A25" t="s">
        <v>115</v>
      </c>
      <c r="B25" t="s">
        <v>67</v>
      </c>
      <c r="C25">
        <v>2.14</v>
      </c>
      <c r="D25">
        <v>2.0499999999999998</v>
      </c>
      <c r="E25" s="2">
        <f t="shared" si="0"/>
        <v>-0.4018011416920147</v>
      </c>
      <c r="F25" s="2">
        <f t="shared" si="1"/>
        <v>-0.85031380661287592</v>
      </c>
      <c r="G25" s="5">
        <f t="shared" si="2"/>
        <v>-0.44851266492086123</v>
      </c>
      <c r="H25" s="9"/>
    </row>
    <row r="26" spans="1:8" x14ac:dyDescent="0.25">
      <c r="A26" t="s">
        <v>115</v>
      </c>
      <c r="B26" t="s">
        <v>18</v>
      </c>
      <c r="C26">
        <v>2.12</v>
      </c>
      <c r="D26">
        <v>2.1399999999999997</v>
      </c>
      <c r="E26" s="2">
        <f t="shared" si="0"/>
        <v>-0.5410736344795436</v>
      </c>
      <c r="F26" s="2">
        <f t="shared" si="1"/>
        <v>-0.20613668039100735</v>
      </c>
      <c r="G26" s="5">
        <f t="shared" si="2"/>
        <v>0.33493695408853624</v>
      </c>
      <c r="H26" s="9"/>
    </row>
    <row r="27" spans="1:8" x14ac:dyDescent="0.25">
      <c r="A27" t="s">
        <v>115</v>
      </c>
      <c r="B27" t="s">
        <v>16</v>
      </c>
      <c r="C27">
        <v>2.29</v>
      </c>
      <c r="D27">
        <v>2.41</v>
      </c>
      <c r="E27" s="2">
        <f t="shared" si="0"/>
        <v>0.64274255421444992</v>
      </c>
      <c r="F27" s="2">
        <f t="shared" si="1"/>
        <v>1.7263946982746046</v>
      </c>
      <c r="G27" s="5">
        <f t="shared" si="2"/>
        <v>1.0836521440601548</v>
      </c>
      <c r="H27" s="9"/>
    </row>
    <row r="28" spans="1:8" x14ac:dyDescent="0.25">
      <c r="A28" t="s">
        <v>115</v>
      </c>
      <c r="B28" t="s">
        <v>89</v>
      </c>
      <c r="C28">
        <v>2.08</v>
      </c>
      <c r="D28">
        <v>2</v>
      </c>
      <c r="E28" s="2">
        <f t="shared" si="0"/>
        <v>-0.81961862005460118</v>
      </c>
      <c r="F28" s="2">
        <f t="shared" si="1"/>
        <v>-1.2081899878472466</v>
      </c>
      <c r="G28" s="5">
        <f t="shared" si="2"/>
        <v>-0.38857136779264545</v>
      </c>
      <c r="H28" s="9"/>
    </row>
    <row r="29" spans="1:8" x14ac:dyDescent="0.25">
      <c r="A29" t="s">
        <v>115</v>
      </c>
      <c r="B29" t="s">
        <v>73</v>
      </c>
      <c r="C29">
        <v>1.98</v>
      </c>
      <c r="D29">
        <v>2.14</v>
      </c>
      <c r="E29" s="2">
        <f t="shared" si="0"/>
        <v>-1.5159810839922454</v>
      </c>
      <c r="F29" s="2">
        <f t="shared" si="1"/>
        <v>-0.20613668039100416</v>
      </c>
      <c r="G29" s="5">
        <f t="shared" si="2"/>
        <v>1.3098444036012413</v>
      </c>
      <c r="H29" s="9"/>
    </row>
    <row r="30" spans="1:8" x14ac:dyDescent="0.25">
      <c r="A30" t="s">
        <v>115</v>
      </c>
      <c r="B30" t="s">
        <v>63</v>
      </c>
      <c r="C30">
        <v>2.2399999999999998</v>
      </c>
      <c r="D30">
        <v>2.2000000000000002</v>
      </c>
      <c r="E30" s="2">
        <f t="shared" si="0"/>
        <v>0.29456132224562631</v>
      </c>
      <c r="F30" s="2">
        <f t="shared" si="1"/>
        <v>0.2233147370902426</v>
      </c>
      <c r="G30" s="5">
        <f t="shared" si="2"/>
        <v>-7.1246585155383707E-2</v>
      </c>
      <c r="H30" s="9"/>
    </row>
    <row r="31" spans="1:8" x14ac:dyDescent="0.25">
      <c r="A31" t="s">
        <v>115</v>
      </c>
      <c r="B31" t="s">
        <v>19</v>
      </c>
      <c r="C31">
        <v>2.2700000000000005</v>
      </c>
      <c r="D31">
        <v>2.2599999999999998</v>
      </c>
      <c r="E31" s="2">
        <f t="shared" si="0"/>
        <v>0.50347006142692419</v>
      </c>
      <c r="F31" s="2">
        <f t="shared" si="1"/>
        <v>0.65276615457148612</v>
      </c>
      <c r="G31" s="5">
        <f t="shared" si="2"/>
        <v>0.14929609314456194</v>
      </c>
      <c r="H31" s="9"/>
    </row>
    <row r="32" spans="1:8" x14ac:dyDescent="0.25">
      <c r="A32" t="s">
        <v>115</v>
      </c>
      <c r="B32" t="s">
        <v>86</v>
      </c>
      <c r="C32">
        <v>2.0600000000000005</v>
      </c>
      <c r="D32">
        <v>2.16</v>
      </c>
      <c r="E32" s="2">
        <f t="shared" si="0"/>
        <v>-0.95889111284212691</v>
      </c>
      <c r="F32" s="2">
        <f t="shared" si="1"/>
        <v>-6.2986207897255245E-2</v>
      </c>
      <c r="G32" s="5">
        <f t="shared" si="2"/>
        <v>0.89590490494487163</v>
      </c>
      <c r="H32" s="9"/>
    </row>
    <row r="33" spans="1:8" x14ac:dyDescent="0.25">
      <c r="A33" t="s">
        <v>134</v>
      </c>
      <c r="C33">
        <v>23.849999999999994</v>
      </c>
      <c r="D33">
        <v>23.959999999999997</v>
      </c>
      <c r="G33" s="5">
        <f t="shared" si="2"/>
        <v>0</v>
      </c>
      <c r="H33" s="9"/>
    </row>
    <row r="34" spans="1:8" x14ac:dyDescent="0.25">
      <c r="A34" t="s">
        <v>114</v>
      </c>
      <c r="B34" t="s">
        <v>51</v>
      </c>
      <c r="C34">
        <v>2.2400000000000002</v>
      </c>
      <c r="D34">
        <v>2.1100000000000003</v>
      </c>
      <c r="E34" s="2">
        <f t="shared" si="0"/>
        <v>0.29456132224562942</v>
      </c>
      <c r="F34" s="2">
        <f t="shared" si="1"/>
        <v>-0.42086238913162594</v>
      </c>
      <c r="G34" s="5">
        <f t="shared" si="2"/>
        <v>-0.71542371137725536</v>
      </c>
      <c r="H34" s="9"/>
    </row>
    <row r="35" spans="1:8" x14ac:dyDescent="0.25">
      <c r="A35" t="s">
        <v>114</v>
      </c>
      <c r="B35" t="s">
        <v>41</v>
      </c>
      <c r="C35">
        <v>2.27</v>
      </c>
      <c r="D35">
        <v>2.3099999999999996</v>
      </c>
      <c r="E35" s="2">
        <f t="shared" si="0"/>
        <v>0.50347006142692108</v>
      </c>
      <c r="F35" s="2">
        <f t="shared" si="1"/>
        <v>1.0106423358058569</v>
      </c>
      <c r="G35" s="5">
        <f t="shared" si="2"/>
        <v>0.50717227437893586</v>
      </c>
      <c r="H35" s="9"/>
    </row>
    <row r="36" spans="1:8" x14ac:dyDescent="0.25">
      <c r="A36" t="s">
        <v>114</v>
      </c>
      <c r="B36" t="s">
        <v>8</v>
      </c>
      <c r="C36">
        <v>2.2600000000000002</v>
      </c>
      <c r="D36">
        <v>2.2000000000000002</v>
      </c>
      <c r="E36" s="2">
        <f t="shared" si="0"/>
        <v>0.43383381503315827</v>
      </c>
      <c r="F36" s="2">
        <f t="shared" si="1"/>
        <v>0.2233147370902426</v>
      </c>
      <c r="G36" s="5">
        <f t="shared" si="2"/>
        <v>-0.21051907794291566</v>
      </c>
      <c r="H36" s="9"/>
    </row>
    <row r="37" spans="1:8" x14ac:dyDescent="0.25">
      <c r="A37" t="s">
        <v>114</v>
      </c>
      <c r="B37" t="s">
        <v>66</v>
      </c>
      <c r="C37">
        <v>2.1100000000000003</v>
      </c>
      <c r="D37">
        <v>2.04</v>
      </c>
      <c r="E37" s="2">
        <f t="shared" si="0"/>
        <v>-0.61070988087330647</v>
      </c>
      <c r="F37" s="2">
        <f t="shared" si="1"/>
        <v>-0.92188904285974871</v>
      </c>
      <c r="G37" s="5">
        <f t="shared" si="2"/>
        <v>-0.31117916198644224</v>
      </c>
      <c r="H37" s="9"/>
    </row>
    <row r="38" spans="1:8" x14ac:dyDescent="0.25">
      <c r="A38" t="s">
        <v>114</v>
      </c>
      <c r="B38" t="s">
        <v>53</v>
      </c>
      <c r="C38">
        <v>2.2000000000000002</v>
      </c>
      <c r="D38">
        <v>1.9100000000000001</v>
      </c>
      <c r="E38" s="2">
        <f t="shared" si="0"/>
        <v>1.6016336670571767E-2</v>
      </c>
      <c r="F38" s="2">
        <f t="shared" si="1"/>
        <v>-1.8523671140691151</v>
      </c>
      <c r="G38" s="5">
        <f t="shared" si="2"/>
        <v>-1.8683834507396868</v>
      </c>
      <c r="H38" s="9"/>
    </row>
    <row r="39" spans="1:8" x14ac:dyDescent="0.25">
      <c r="A39" t="s">
        <v>114</v>
      </c>
      <c r="B39" t="s">
        <v>103</v>
      </c>
      <c r="C39">
        <v>2.04</v>
      </c>
      <c r="D39">
        <v>2.0300000000000002</v>
      </c>
      <c r="E39" s="2">
        <f t="shared" si="0"/>
        <v>-1.0981636056296589</v>
      </c>
      <c r="F39" s="2">
        <f t="shared" si="1"/>
        <v>-0.99346427910662161</v>
      </c>
      <c r="G39" s="5">
        <f t="shared" si="2"/>
        <v>0.10469932652303726</v>
      </c>
      <c r="H39" s="9"/>
    </row>
    <row r="40" spans="1:8" x14ac:dyDescent="0.25">
      <c r="A40" t="s">
        <v>114</v>
      </c>
      <c r="B40" t="s">
        <v>49</v>
      </c>
      <c r="C40">
        <v>2.2999999999999998</v>
      </c>
      <c r="D40">
        <v>2.23</v>
      </c>
      <c r="E40" s="2">
        <f t="shared" si="0"/>
        <v>0.71237880060821279</v>
      </c>
      <c r="F40" s="2">
        <f t="shared" si="1"/>
        <v>0.43804044583086438</v>
      </c>
      <c r="G40" s="5">
        <f t="shared" si="2"/>
        <v>-0.27433835477734841</v>
      </c>
      <c r="H40" s="9"/>
    </row>
    <row r="41" spans="1:8" x14ac:dyDescent="0.25">
      <c r="A41" t="s">
        <v>114</v>
      </c>
      <c r="B41" t="s">
        <v>88</v>
      </c>
      <c r="C41">
        <v>2.0500000000000003</v>
      </c>
      <c r="D41">
        <v>1.9800000000000002</v>
      </c>
      <c r="E41" s="2">
        <f t="shared" si="0"/>
        <v>-1.028527359235893</v>
      </c>
      <c r="F41" s="2">
        <f t="shared" si="1"/>
        <v>-1.351340460340994</v>
      </c>
      <c r="G41" s="5">
        <f t="shared" si="2"/>
        <v>-0.32281310110510097</v>
      </c>
      <c r="H41" s="9"/>
    </row>
    <row r="42" spans="1:8" x14ac:dyDescent="0.25">
      <c r="A42" t="s">
        <v>114</v>
      </c>
      <c r="B42" t="s">
        <v>74</v>
      </c>
      <c r="C42">
        <v>2.12</v>
      </c>
      <c r="D42">
        <v>2.06</v>
      </c>
      <c r="E42" s="2">
        <f t="shared" si="0"/>
        <v>-0.5410736344795436</v>
      </c>
      <c r="F42" s="2">
        <f t="shared" si="1"/>
        <v>-0.7787385703659998</v>
      </c>
      <c r="G42" s="5">
        <f t="shared" si="2"/>
        <v>-0.23766493588645621</v>
      </c>
      <c r="H42" s="9"/>
    </row>
    <row r="43" spans="1:8" x14ac:dyDescent="0.25">
      <c r="A43" t="s">
        <v>114</v>
      </c>
      <c r="B43" t="s">
        <v>38</v>
      </c>
      <c r="C43">
        <v>2.2799999999999998</v>
      </c>
      <c r="D43">
        <v>2.29</v>
      </c>
      <c r="E43" s="2">
        <f t="shared" si="0"/>
        <v>0.57310630782068395</v>
      </c>
      <c r="F43" s="2">
        <f t="shared" si="1"/>
        <v>0.86749186331211114</v>
      </c>
      <c r="G43" s="5">
        <f t="shared" si="2"/>
        <v>0.2943855554914272</v>
      </c>
      <c r="H43" s="9"/>
    </row>
    <row r="44" spans="1:8" x14ac:dyDescent="0.25">
      <c r="A44" t="s">
        <v>114</v>
      </c>
      <c r="B44" t="s">
        <v>44</v>
      </c>
      <c r="C44">
        <v>2.1100000000000003</v>
      </c>
      <c r="D44">
        <v>2.2200000000000002</v>
      </c>
      <c r="E44" s="2">
        <f t="shared" si="0"/>
        <v>-0.61070988087330647</v>
      </c>
      <c r="F44" s="2">
        <f t="shared" si="1"/>
        <v>0.36646520958399154</v>
      </c>
      <c r="G44" s="5">
        <f t="shared" si="2"/>
        <v>0.977175090457298</v>
      </c>
      <c r="H44" s="9"/>
    </row>
    <row r="45" spans="1:8" x14ac:dyDescent="0.25">
      <c r="A45" t="s">
        <v>114</v>
      </c>
      <c r="B45" t="s">
        <v>26</v>
      </c>
      <c r="C45">
        <v>2.2999999999999998</v>
      </c>
      <c r="D45">
        <v>2.14</v>
      </c>
      <c r="E45" s="2">
        <f t="shared" si="0"/>
        <v>0.71237880060821279</v>
      </c>
      <c r="F45" s="2">
        <f t="shared" si="1"/>
        <v>-0.20613668039100416</v>
      </c>
      <c r="G45" s="5">
        <f t="shared" si="2"/>
        <v>-0.91851548099921698</v>
      </c>
      <c r="H45" s="9"/>
    </row>
    <row r="46" spans="1:8" x14ac:dyDescent="0.25">
      <c r="A46" t="s">
        <v>114</v>
      </c>
      <c r="B46" t="s">
        <v>36</v>
      </c>
      <c r="C46">
        <v>2.31</v>
      </c>
      <c r="D46">
        <v>2.09</v>
      </c>
      <c r="E46" s="2">
        <f t="shared" si="0"/>
        <v>0.78201504700197877</v>
      </c>
      <c r="F46" s="2">
        <f t="shared" si="1"/>
        <v>-0.564012861625378</v>
      </c>
      <c r="G46" s="5">
        <f t="shared" si="2"/>
        <v>-1.3460279086273568</v>
      </c>
      <c r="H46" s="9"/>
    </row>
    <row r="47" spans="1:8" x14ac:dyDescent="0.25">
      <c r="A47" t="s">
        <v>114</v>
      </c>
      <c r="B47" t="s">
        <v>101</v>
      </c>
      <c r="C47">
        <v>2.0099999999999998</v>
      </c>
      <c r="D47">
        <v>1.97</v>
      </c>
      <c r="E47" s="2">
        <f t="shared" si="0"/>
        <v>-1.3070723448109536</v>
      </c>
      <c r="F47" s="2">
        <f t="shared" si="1"/>
        <v>-1.42291569658787</v>
      </c>
      <c r="G47" s="5">
        <f t="shared" si="2"/>
        <v>-0.1158433517769164</v>
      </c>
      <c r="H47" s="9"/>
    </row>
    <row r="48" spans="1:8" x14ac:dyDescent="0.25">
      <c r="A48" t="s">
        <v>114</v>
      </c>
      <c r="B48" t="s">
        <v>42</v>
      </c>
      <c r="C48">
        <v>2.2999999999999998</v>
      </c>
      <c r="D48">
        <v>2.33</v>
      </c>
      <c r="E48" s="2">
        <f t="shared" si="0"/>
        <v>0.71237880060821279</v>
      </c>
      <c r="F48" s="2">
        <f t="shared" si="1"/>
        <v>1.153792808299609</v>
      </c>
      <c r="G48" s="5">
        <f t="shared" si="2"/>
        <v>0.44141400769139616</v>
      </c>
      <c r="H48" s="9"/>
    </row>
    <row r="49" spans="1:8" x14ac:dyDescent="0.25">
      <c r="A49" t="s">
        <v>114</v>
      </c>
      <c r="B49" t="s">
        <v>10</v>
      </c>
      <c r="C49">
        <v>2.35</v>
      </c>
      <c r="D49">
        <v>2.2800000000000002</v>
      </c>
      <c r="E49" s="2">
        <f t="shared" si="0"/>
        <v>1.0605600325770363</v>
      </c>
      <c r="F49" s="2">
        <f t="shared" si="1"/>
        <v>0.79591662706523825</v>
      </c>
      <c r="G49" s="5">
        <f t="shared" si="2"/>
        <v>-0.2646434055117981</v>
      </c>
      <c r="H49" s="9"/>
    </row>
    <row r="50" spans="1:8" x14ac:dyDescent="0.25">
      <c r="A50" t="s">
        <v>135</v>
      </c>
      <c r="C50">
        <v>35.25</v>
      </c>
      <c r="D50">
        <v>34.19</v>
      </c>
      <c r="G50" s="5">
        <f t="shared" si="2"/>
        <v>0</v>
      </c>
      <c r="H50" s="9"/>
    </row>
    <row r="51" spans="1:8" x14ac:dyDescent="0.25">
      <c r="A51" t="s">
        <v>126</v>
      </c>
      <c r="B51" t="s">
        <v>20</v>
      </c>
      <c r="C51">
        <v>2.12</v>
      </c>
      <c r="D51">
        <v>2.1800000000000002</v>
      </c>
      <c r="E51" s="2">
        <f t="shared" si="0"/>
        <v>-0.5410736344795436</v>
      </c>
      <c r="F51" s="2">
        <f t="shared" si="1"/>
        <v>8.0164264596493673E-2</v>
      </c>
      <c r="G51" s="5">
        <f t="shared" si="2"/>
        <v>0.62123789907603721</v>
      </c>
      <c r="H51" s="9"/>
    </row>
    <row r="52" spans="1:8" x14ac:dyDescent="0.25">
      <c r="A52" t="s">
        <v>126</v>
      </c>
      <c r="B52" t="s">
        <v>5</v>
      </c>
      <c r="C52">
        <v>2.67</v>
      </c>
      <c r="D52">
        <v>2.67</v>
      </c>
      <c r="E52" s="2">
        <f t="shared" si="0"/>
        <v>3.2889199171774948</v>
      </c>
      <c r="F52" s="2">
        <f t="shared" si="1"/>
        <v>3.5873508406933374</v>
      </c>
      <c r="G52" s="5">
        <f t="shared" si="2"/>
        <v>0.29843092351584266</v>
      </c>
      <c r="H52" s="9"/>
    </row>
    <row r="53" spans="1:8" x14ac:dyDescent="0.25">
      <c r="A53" t="s">
        <v>126</v>
      </c>
      <c r="B53" t="s">
        <v>80</v>
      </c>
      <c r="C53">
        <v>2.13</v>
      </c>
      <c r="D53">
        <v>2.13</v>
      </c>
      <c r="E53" s="2">
        <f t="shared" si="0"/>
        <v>-0.47143738808578067</v>
      </c>
      <c r="F53" s="2">
        <f t="shared" si="1"/>
        <v>-0.2777119166378802</v>
      </c>
      <c r="G53" s="5">
        <f t="shared" si="2"/>
        <v>0.19372547144790048</v>
      </c>
      <c r="H53" s="9"/>
    </row>
    <row r="54" spans="1:8" x14ac:dyDescent="0.25">
      <c r="A54" t="s">
        <v>126</v>
      </c>
      <c r="B54" t="s">
        <v>6</v>
      </c>
      <c r="C54">
        <v>2.35</v>
      </c>
      <c r="D54">
        <v>2.14</v>
      </c>
      <c r="E54" s="2">
        <f t="shared" si="0"/>
        <v>1.0605600325770363</v>
      </c>
      <c r="F54" s="2">
        <f t="shared" si="1"/>
        <v>-0.20613668039100416</v>
      </c>
      <c r="G54" s="5">
        <f t="shared" si="2"/>
        <v>-1.2666967129680404</v>
      </c>
      <c r="H54" s="9"/>
    </row>
    <row r="55" spans="1:8" x14ac:dyDescent="0.25">
      <c r="A55" t="s">
        <v>126</v>
      </c>
      <c r="B55" t="s">
        <v>78</v>
      </c>
      <c r="C55">
        <v>2.04</v>
      </c>
      <c r="D55">
        <v>2.1</v>
      </c>
      <c r="E55" s="2">
        <f t="shared" si="0"/>
        <v>-1.0981636056296589</v>
      </c>
      <c r="F55" s="2">
        <f t="shared" si="1"/>
        <v>-0.492437625378502</v>
      </c>
      <c r="G55" s="5">
        <f t="shared" si="2"/>
        <v>0.60572598025115687</v>
      </c>
      <c r="H55" s="9"/>
    </row>
    <row r="56" spans="1:8" x14ac:dyDescent="0.25">
      <c r="A56" t="s">
        <v>126</v>
      </c>
      <c r="B56" t="s">
        <v>69</v>
      </c>
      <c r="C56">
        <v>2.0099999999999998</v>
      </c>
      <c r="D56">
        <v>2.1100000000000003</v>
      </c>
      <c r="E56" s="2">
        <f t="shared" si="0"/>
        <v>-1.3070723448109536</v>
      </c>
      <c r="F56" s="2">
        <f t="shared" si="1"/>
        <v>-0.42086238913162594</v>
      </c>
      <c r="G56" s="5">
        <f t="shared" si="2"/>
        <v>0.8862099556793277</v>
      </c>
      <c r="H56" s="9"/>
    </row>
    <row r="57" spans="1:8" x14ac:dyDescent="0.25">
      <c r="A57" t="s">
        <v>126</v>
      </c>
      <c r="B57" t="s">
        <v>84</v>
      </c>
      <c r="C57">
        <v>2.0700000000000003</v>
      </c>
      <c r="D57">
        <v>2.0700000000000003</v>
      </c>
      <c r="E57" s="2">
        <f t="shared" si="0"/>
        <v>-0.88925486644836405</v>
      </c>
      <c r="F57" s="2">
        <f t="shared" si="1"/>
        <v>-0.7071633341191238</v>
      </c>
      <c r="G57" s="5">
        <f t="shared" si="2"/>
        <v>0.18209153232924025</v>
      </c>
      <c r="H57" s="9"/>
    </row>
    <row r="58" spans="1:8" x14ac:dyDescent="0.25">
      <c r="A58" t="s">
        <v>136</v>
      </c>
      <c r="C58">
        <v>15.389999999999999</v>
      </c>
      <c r="D58">
        <v>15.399999999999999</v>
      </c>
      <c r="G58" s="5">
        <f t="shared" si="2"/>
        <v>0</v>
      </c>
      <c r="H58" s="9"/>
    </row>
    <row r="59" spans="1:8" x14ac:dyDescent="0.25">
      <c r="A59" t="s">
        <v>124</v>
      </c>
      <c r="B59" t="s">
        <v>11</v>
      </c>
      <c r="C59">
        <v>2.41</v>
      </c>
      <c r="D59">
        <v>2.25</v>
      </c>
      <c r="E59" s="2">
        <f t="shared" si="0"/>
        <v>1.4783775109396229</v>
      </c>
      <c r="F59" s="2">
        <f t="shared" si="1"/>
        <v>0.58119091832461334</v>
      </c>
      <c r="G59" s="5">
        <f t="shared" si="2"/>
        <v>-0.89718659261500955</v>
      </c>
      <c r="H59" s="9"/>
    </row>
    <row r="60" spans="1:8" x14ac:dyDescent="0.25">
      <c r="A60" t="s">
        <v>124</v>
      </c>
      <c r="B60" t="s">
        <v>55</v>
      </c>
      <c r="C60">
        <v>2.0499999999999998</v>
      </c>
      <c r="D60">
        <v>2.0099999999999998</v>
      </c>
      <c r="E60" s="2">
        <f t="shared" si="0"/>
        <v>-1.0285273592358961</v>
      </c>
      <c r="F60" s="2">
        <f t="shared" si="1"/>
        <v>-1.1366147516003737</v>
      </c>
      <c r="G60" s="5">
        <f t="shared" si="2"/>
        <v>-0.10808739236447762</v>
      </c>
      <c r="H60" s="9"/>
    </row>
    <row r="61" spans="1:8" x14ac:dyDescent="0.25">
      <c r="A61" t="s">
        <v>124</v>
      </c>
      <c r="B61" t="s">
        <v>32</v>
      </c>
      <c r="C61">
        <v>2.35</v>
      </c>
      <c r="D61">
        <v>2.29</v>
      </c>
      <c r="E61" s="2">
        <f t="shared" si="0"/>
        <v>1.0605600325770363</v>
      </c>
      <c r="F61" s="2">
        <f t="shared" si="1"/>
        <v>0.86749186331211114</v>
      </c>
      <c r="G61" s="5">
        <f t="shared" si="2"/>
        <v>-0.1930681692649252</v>
      </c>
      <c r="H61" s="9"/>
    </row>
    <row r="62" spans="1:8" x14ac:dyDescent="0.25">
      <c r="A62" t="s">
        <v>137</v>
      </c>
      <c r="C62">
        <v>6.8100000000000005</v>
      </c>
      <c r="D62">
        <v>6.55</v>
      </c>
      <c r="G62" s="5">
        <f t="shared" si="2"/>
        <v>0</v>
      </c>
      <c r="H62" s="9"/>
    </row>
    <row r="63" spans="1:8" x14ac:dyDescent="0.25">
      <c r="A63" t="s">
        <v>119</v>
      </c>
      <c r="B63" t="s">
        <v>47</v>
      </c>
      <c r="C63">
        <v>2.2999999999999998</v>
      </c>
      <c r="D63">
        <v>2.3600000000000003</v>
      </c>
      <c r="E63" s="2">
        <f t="shared" si="0"/>
        <v>0.71237880060821279</v>
      </c>
      <c r="F63" s="2">
        <f t="shared" si="1"/>
        <v>1.3685185170402339</v>
      </c>
      <c r="G63" s="5">
        <f t="shared" si="2"/>
        <v>0.65613971643202107</v>
      </c>
      <c r="H63" s="9"/>
    </row>
    <row r="64" spans="1:8" x14ac:dyDescent="0.25">
      <c r="A64" t="s">
        <v>119</v>
      </c>
      <c r="B64" t="s">
        <v>77</v>
      </c>
      <c r="C64">
        <v>2.17</v>
      </c>
      <c r="D64">
        <v>2.09</v>
      </c>
      <c r="E64" s="2">
        <f t="shared" si="0"/>
        <v>-0.19289240251072301</v>
      </c>
      <c r="F64" s="2">
        <f t="shared" si="1"/>
        <v>-0.564012861625378</v>
      </c>
      <c r="G64" s="5">
        <f t="shared" si="2"/>
        <v>-0.37112045911465497</v>
      </c>
      <c r="H64" s="9"/>
    </row>
    <row r="65" spans="1:8" x14ac:dyDescent="0.25">
      <c r="A65" t="s">
        <v>119</v>
      </c>
      <c r="B65" t="s">
        <v>7</v>
      </c>
      <c r="C65">
        <v>2.4700000000000002</v>
      </c>
      <c r="D65">
        <v>2.6199999999999997</v>
      </c>
      <c r="E65" s="2">
        <f t="shared" si="0"/>
        <v>1.8961949893022094</v>
      </c>
      <c r="F65" s="2">
        <f t="shared" si="1"/>
        <v>3.2294746594589636</v>
      </c>
      <c r="G65" s="5">
        <f t="shared" si="2"/>
        <v>1.3332796701567542</v>
      </c>
      <c r="H65" s="9"/>
    </row>
    <row r="66" spans="1:8" x14ac:dyDescent="0.25">
      <c r="A66" t="s">
        <v>119</v>
      </c>
      <c r="B66" t="s">
        <v>81</v>
      </c>
      <c r="C66">
        <v>2.14</v>
      </c>
      <c r="D66">
        <v>2</v>
      </c>
      <c r="E66" s="2">
        <f t="shared" si="0"/>
        <v>-0.4018011416920147</v>
      </c>
      <c r="F66" s="2">
        <f t="shared" si="1"/>
        <v>-1.2081899878472466</v>
      </c>
      <c r="G66" s="5">
        <f t="shared" si="2"/>
        <v>-0.80638884615523199</v>
      </c>
      <c r="H66" s="9"/>
    </row>
    <row r="67" spans="1:8" x14ac:dyDescent="0.25">
      <c r="A67" t="s">
        <v>119</v>
      </c>
      <c r="B67" t="s">
        <v>93</v>
      </c>
      <c r="C67">
        <v>2.08</v>
      </c>
      <c r="D67">
        <v>2.0300000000000002</v>
      </c>
      <c r="E67" s="2">
        <f t="shared" si="0"/>
        <v>-0.81961862005460118</v>
      </c>
      <c r="F67" s="2">
        <f t="shared" si="1"/>
        <v>-0.99346427910662161</v>
      </c>
      <c r="G67" s="5">
        <f t="shared" si="2"/>
        <v>-0.17384565905202043</v>
      </c>
      <c r="H67" s="9"/>
    </row>
    <row r="68" spans="1:8" x14ac:dyDescent="0.25">
      <c r="A68" t="s">
        <v>138</v>
      </c>
      <c r="C68">
        <v>11.16</v>
      </c>
      <c r="D68">
        <v>11.100000000000001</v>
      </c>
      <c r="G68" s="5">
        <f t="shared" si="2"/>
        <v>0</v>
      </c>
      <c r="H68" s="9"/>
    </row>
    <row r="69" spans="1:8" x14ac:dyDescent="0.25">
      <c r="A69" t="s">
        <v>113</v>
      </c>
      <c r="B69" t="s">
        <v>27</v>
      </c>
      <c r="C69">
        <v>2.3200000000000003</v>
      </c>
      <c r="D69">
        <v>2.38</v>
      </c>
      <c r="E69" s="2">
        <f t="shared" si="0"/>
        <v>0.85165129339574475</v>
      </c>
      <c r="F69" s="2">
        <f t="shared" si="1"/>
        <v>1.5116689895339797</v>
      </c>
      <c r="G69" s="5">
        <f>F69-E69</f>
        <v>0.66001769613823491</v>
      </c>
      <c r="H69" s="9"/>
    </row>
    <row r="70" spans="1:8" x14ac:dyDescent="0.25">
      <c r="A70" t="s">
        <v>113</v>
      </c>
      <c r="B70" t="s">
        <v>22</v>
      </c>
      <c r="C70">
        <v>2.1500000000000004</v>
      </c>
      <c r="D70">
        <v>2.21</v>
      </c>
      <c r="E70" s="2">
        <f t="shared" ref="E70:E118" si="3">($C70-C$122)/C$123</f>
        <v>-0.33216489529824877</v>
      </c>
      <c r="F70" s="2">
        <f t="shared" ref="F70:F118" si="4">($D70-D$122)/D$123</f>
        <v>0.29488997333711547</v>
      </c>
      <c r="G70" s="5">
        <f t="shared" ref="G70:G118" si="5">F70-E70</f>
        <v>0.6270548686353643</v>
      </c>
      <c r="H70" s="9"/>
    </row>
    <row r="71" spans="1:8" x14ac:dyDescent="0.25">
      <c r="A71" t="s">
        <v>113</v>
      </c>
      <c r="B71" t="s">
        <v>65</v>
      </c>
      <c r="C71">
        <v>2.1100000000000003</v>
      </c>
      <c r="D71">
        <v>2.14</v>
      </c>
      <c r="E71" s="2">
        <f t="shared" si="3"/>
        <v>-0.61070988087330647</v>
      </c>
      <c r="F71" s="2">
        <f t="shared" si="4"/>
        <v>-0.20613668039100416</v>
      </c>
      <c r="G71" s="5">
        <f t="shared" si="5"/>
        <v>0.40457320048230228</v>
      </c>
      <c r="H71" s="9"/>
    </row>
    <row r="72" spans="1:8" x14ac:dyDescent="0.25">
      <c r="A72" t="s">
        <v>113</v>
      </c>
      <c r="B72" t="s">
        <v>94</v>
      </c>
      <c r="C72">
        <v>2.08</v>
      </c>
      <c r="D72">
        <v>2.13</v>
      </c>
      <c r="E72" s="2">
        <f t="shared" si="3"/>
        <v>-0.81961862005460118</v>
      </c>
      <c r="F72" s="2">
        <f t="shared" si="4"/>
        <v>-0.2777119166378802</v>
      </c>
      <c r="G72" s="5">
        <f t="shared" si="5"/>
        <v>0.54190670341672098</v>
      </c>
      <c r="H72" s="9"/>
    </row>
    <row r="73" spans="1:8" x14ac:dyDescent="0.25">
      <c r="A73" t="s">
        <v>113</v>
      </c>
      <c r="B73" t="s">
        <v>92</v>
      </c>
      <c r="C73">
        <v>2.06</v>
      </c>
      <c r="D73">
        <v>2.1100000000000003</v>
      </c>
      <c r="E73" s="2">
        <f t="shared" si="3"/>
        <v>-0.95889111284213002</v>
      </c>
      <c r="F73" s="2">
        <f t="shared" si="4"/>
        <v>-0.42086238913162594</v>
      </c>
      <c r="G73" s="5">
        <f t="shared" si="5"/>
        <v>0.53802872371050414</v>
      </c>
      <c r="H73" s="9"/>
    </row>
    <row r="74" spans="1:8" x14ac:dyDescent="0.25">
      <c r="A74" t="s">
        <v>113</v>
      </c>
      <c r="B74" t="s">
        <v>43</v>
      </c>
      <c r="C74">
        <v>2.25</v>
      </c>
      <c r="D74">
        <v>2.2200000000000002</v>
      </c>
      <c r="E74" s="2">
        <f t="shared" si="3"/>
        <v>0.36419756863939229</v>
      </c>
      <c r="F74" s="2">
        <f t="shared" si="4"/>
        <v>0.36646520958399154</v>
      </c>
      <c r="G74" s="5">
        <f t="shared" si="5"/>
        <v>2.2676409445992474E-3</v>
      </c>
      <c r="H74" s="9"/>
    </row>
    <row r="75" spans="1:8" x14ac:dyDescent="0.25">
      <c r="A75" t="s">
        <v>113</v>
      </c>
      <c r="B75" t="s">
        <v>100</v>
      </c>
      <c r="C75">
        <v>2.06</v>
      </c>
      <c r="D75">
        <v>2.0900000000000003</v>
      </c>
      <c r="E75" s="2">
        <f t="shared" si="3"/>
        <v>-0.95889111284213002</v>
      </c>
      <c r="F75" s="2">
        <f t="shared" si="4"/>
        <v>-0.56401286162537489</v>
      </c>
      <c r="G75" s="5">
        <f t="shared" si="5"/>
        <v>0.39487825121675513</v>
      </c>
      <c r="H75" s="9"/>
    </row>
    <row r="76" spans="1:8" x14ac:dyDescent="0.25">
      <c r="A76" t="s">
        <v>139</v>
      </c>
      <c r="C76">
        <v>15.030000000000001</v>
      </c>
      <c r="D76">
        <v>15.28</v>
      </c>
      <c r="G76" s="5">
        <f t="shared" si="5"/>
        <v>0</v>
      </c>
      <c r="H76" s="9"/>
    </row>
    <row r="77" spans="1:8" x14ac:dyDescent="0.25">
      <c r="A77" t="s">
        <v>121</v>
      </c>
      <c r="B77" t="s">
        <v>37</v>
      </c>
      <c r="C77">
        <v>2.2600000000000002</v>
      </c>
      <c r="D77">
        <v>2.25</v>
      </c>
      <c r="E77" s="2">
        <f t="shared" si="3"/>
        <v>0.43383381503315827</v>
      </c>
      <c r="F77" s="2">
        <f t="shared" si="4"/>
        <v>0.58119091832461334</v>
      </c>
      <c r="G77" s="5">
        <f t="shared" si="5"/>
        <v>0.14735710329145507</v>
      </c>
      <c r="H77" s="9"/>
    </row>
    <row r="78" spans="1:8" x14ac:dyDescent="0.25">
      <c r="A78" t="s">
        <v>121</v>
      </c>
      <c r="B78" t="s">
        <v>79</v>
      </c>
      <c r="C78">
        <v>1.9900000000000002</v>
      </c>
      <c r="D78">
        <v>2.04</v>
      </c>
      <c r="E78" s="2">
        <f t="shared" si="3"/>
        <v>-1.4463448375984793</v>
      </c>
      <c r="F78" s="2">
        <f t="shared" si="4"/>
        <v>-0.92188904285974871</v>
      </c>
      <c r="G78" s="5">
        <f t="shared" si="5"/>
        <v>0.52445579473873061</v>
      </c>
      <c r="H78" s="9"/>
    </row>
    <row r="79" spans="1:8" x14ac:dyDescent="0.25">
      <c r="A79" t="s">
        <v>121</v>
      </c>
      <c r="B79" t="s">
        <v>54</v>
      </c>
      <c r="C79">
        <v>2.17</v>
      </c>
      <c r="D79">
        <v>2.1100000000000003</v>
      </c>
      <c r="E79" s="2">
        <f t="shared" si="3"/>
        <v>-0.19289240251072301</v>
      </c>
      <c r="F79" s="2">
        <f t="shared" si="4"/>
        <v>-0.42086238913162594</v>
      </c>
      <c r="G79" s="5">
        <f t="shared" si="5"/>
        <v>-0.22796998662090293</v>
      </c>
      <c r="H79" s="9"/>
    </row>
    <row r="80" spans="1:8" x14ac:dyDescent="0.25">
      <c r="A80" t="s">
        <v>121</v>
      </c>
      <c r="B80" t="s">
        <v>90</v>
      </c>
      <c r="C80">
        <v>2.04</v>
      </c>
      <c r="D80">
        <v>1.9700000000000002</v>
      </c>
      <c r="E80" s="2">
        <f t="shared" si="3"/>
        <v>-1.0981636056296589</v>
      </c>
      <c r="F80" s="2">
        <f t="shared" si="4"/>
        <v>-1.4229156965878684</v>
      </c>
      <c r="G80" s="5">
        <f t="shared" si="5"/>
        <v>-0.32475209095820956</v>
      </c>
      <c r="H80" s="9"/>
    </row>
    <row r="81" spans="1:8" x14ac:dyDescent="0.25">
      <c r="A81" t="s">
        <v>121</v>
      </c>
      <c r="B81" t="s">
        <v>62</v>
      </c>
      <c r="C81">
        <v>2.17</v>
      </c>
      <c r="D81">
        <v>2.04</v>
      </c>
      <c r="E81" s="2">
        <f t="shared" si="3"/>
        <v>-0.19289240251072301</v>
      </c>
      <c r="F81" s="2">
        <f t="shared" si="4"/>
        <v>-0.92188904285974871</v>
      </c>
      <c r="G81" s="5">
        <f t="shared" si="5"/>
        <v>-0.72899664034902567</v>
      </c>
      <c r="H81" s="9"/>
    </row>
    <row r="82" spans="1:8" x14ac:dyDescent="0.25">
      <c r="A82" t="s">
        <v>140</v>
      </c>
      <c r="C82">
        <v>10.63</v>
      </c>
      <c r="D82">
        <v>10.41</v>
      </c>
      <c r="G82" s="5">
        <f t="shared" si="5"/>
        <v>0</v>
      </c>
      <c r="H82" s="9"/>
    </row>
    <row r="83" spans="1:8" x14ac:dyDescent="0.25">
      <c r="A83" t="s">
        <v>123</v>
      </c>
      <c r="B83" t="s">
        <v>102</v>
      </c>
      <c r="C83">
        <v>2</v>
      </c>
      <c r="D83">
        <v>1.9600000000000002</v>
      </c>
      <c r="E83" s="2">
        <f t="shared" si="3"/>
        <v>-1.3767085912047166</v>
      </c>
      <c r="F83" s="2">
        <f t="shared" si="4"/>
        <v>-1.4944909328347429</v>
      </c>
      <c r="G83" s="5">
        <f t="shared" si="5"/>
        <v>-0.11778234163002632</v>
      </c>
      <c r="H83" s="9"/>
    </row>
    <row r="84" spans="1:8" x14ac:dyDescent="0.25">
      <c r="A84" t="s">
        <v>123</v>
      </c>
      <c r="B84" t="s">
        <v>99</v>
      </c>
      <c r="C84">
        <v>1.95</v>
      </c>
      <c r="D84">
        <v>1.9400000000000002</v>
      </c>
      <c r="E84" s="2">
        <f t="shared" si="3"/>
        <v>-1.7248898231735386</v>
      </c>
      <c r="F84" s="2">
        <f t="shared" si="4"/>
        <v>-1.6376414053284918</v>
      </c>
      <c r="G84" s="5">
        <f t="shared" si="5"/>
        <v>8.7248417845046777E-2</v>
      </c>
      <c r="H84" s="9"/>
    </row>
    <row r="85" spans="1:8" x14ac:dyDescent="0.25">
      <c r="A85" t="s">
        <v>123</v>
      </c>
      <c r="B85" t="s">
        <v>52</v>
      </c>
      <c r="C85">
        <v>2.14</v>
      </c>
      <c r="D85">
        <v>2.25</v>
      </c>
      <c r="E85" s="2">
        <f t="shared" si="3"/>
        <v>-0.4018011416920147</v>
      </c>
      <c r="F85" s="2">
        <f t="shared" si="4"/>
        <v>0.58119091832461334</v>
      </c>
      <c r="G85" s="5">
        <f t="shared" si="5"/>
        <v>0.98299206001662798</v>
      </c>
      <c r="H85" s="9"/>
    </row>
    <row r="86" spans="1:8" x14ac:dyDescent="0.25">
      <c r="A86" t="s">
        <v>123</v>
      </c>
      <c r="B86" t="s">
        <v>70</v>
      </c>
      <c r="C86">
        <v>2.1100000000000003</v>
      </c>
      <c r="D86">
        <v>2.0300000000000002</v>
      </c>
      <c r="E86" s="2">
        <f t="shared" si="3"/>
        <v>-0.61070988087330647</v>
      </c>
      <c r="F86" s="2">
        <f t="shared" si="4"/>
        <v>-0.99346427910662161</v>
      </c>
      <c r="G86" s="5">
        <f t="shared" si="5"/>
        <v>-0.38275439823331514</v>
      </c>
      <c r="H86" s="9"/>
    </row>
    <row r="87" spans="1:8" x14ac:dyDescent="0.25">
      <c r="A87" t="s">
        <v>141</v>
      </c>
      <c r="C87">
        <v>8.1999999999999993</v>
      </c>
      <c r="D87">
        <v>8.18</v>
      </c>
      <c r="G87" s="5">
        <f t="shared" si="5"/>
        <v>0</v>
      </c>
      <c r="H87" s="9"/>
    </row>
    <row r="88" spans="1:8" x14ac:dyDescent="0.25">
      <c r="A88" t="s">
        <v>127</v>
      </c>
      <c r="B88" t="s">
        <v>76</v>
      </c>
      <c r="C88">
        <v>2.21</v>
      </c>
      <c r="D88">
        <v>2.21</v>
      </c>
      <c r="E88" s="2">
        <f t="shared" si="3"/>
        <v>8.5652583064334639E-2</v>
      </c>
      <c r="F88" s="2">
        <f t="shared" si="4"/>
        <v>0.29488997333711547</v>
      </c>
      <c r="G88" s="5">
        <f t="shared" si="5"/>
        <v>0.20923739027278082</v>
      </c>
      <c r="H88" s="9"/>
    </row>
    <row r="89" spans="1:8" x14ac:dyDescent="0.25">
      <c r="A89" t="s">
        <v>127</v>
      </c>
      <c r="B89" t="s">
        <v>59</v>
      </c>
      <c r="C89">
        <v>2.23</v>
      </c>
      <c r="D89">
        <v>2.2000000000000002</v>
      </c>
      <c r="E89" s="2">
        <f t="shared" si="3"/>
        <v>0.22492507585186347</v>
      </c>
      <c r="F89" s="2">
        <f t="shared" si="4"/>
        <v>0.2233147370902426</v>
      </c>
      <c r="G89" s="5">
        <f t="shared" si="5"/>
        <v>-1.6103387616208664E-3</v>
      </c>
      <c r="H89" s="9"/>
    </row>
    <row r="90" spans="1:8" x14ac:dyDescent="0.25">
      <c r="A90" t="s">
        <v>142</v>
      </c>
      <c r="C90">
        <v>4.4399999999999995</v>
      </c>
      <c r="D90">
        <v>4.41</v>
      </c>
      <c r="G90" s="5">
        <f t="shared" si="5"/>
        <v>0</v>
      </c>
      <c r="H90" s="9"/>
    </row>
    <row r="91" spans="1:8" x14ac:dyDescent="0.25">
      <c r="A91" t="s">
        <v>122</v>
      </c>
      <c r="B91" t="s">
        <v>17</v>
      </c>
      <c r="C91">
        <v>2.5</v>
      </c>
      <c r="D91">
        <v>2.29</v>
      </c>
      <c r="E91" s="2">
        <f t="shared" si="3"/>
        <v>2.1051037284835012</v>
      </c>
      <c r="F91" s="2">
        <f t="shared" si="4"/>
        <v>0.86749186331211114</v>
      </c>
      <c r="G91" s="5">
        <f t="shared" si="5"/>
        <v>-1.2376118651713901</v>
      </c>
      <c r="H91" s="9"/>
    </row>
    <row r="92" spans="1:8" x14ac:dyDescent="0.25">
      <c r="A92" t="s">
        <v>122</v>
      </c>
      <c r="B92" t="s">
        <v>96</v>
      </c>
      <c r="C92">
        <v>2.04</v>
      </c>
      <c r="D92">
        <v>2</v>
      </c>
      <c r="E92" s="2">
        <f t="shared" si="3"/>
        <v>-1.0981636056296589</v>
      </c>
      <c r="F92" s="2">
        <f t="shared" si="4"/>
        <v>-1.2081899878472466</v>
      </c>
      <c r="G92" s="5">
        <f t="shared" si="5"/>
        <v>-0.11002638221758776</v>
      </c>
      <c r="H92" s="9"/>
    </row>
    <row r="93" spans="1:8" x14ac:dyDescent="0.25">
      <c r="A93" t="s">
        <v>122</v>
      </c>
      <c r="B93" t="s">
        <v>83</v>
      </c>
      <c r="C93">
        <v>2.17</v>
      </c>
      <c r="D93">
        <v>2.0700000000000003</v>
      </c>
      <c r="E93" s="2">
        <f t="shared" si="3"/>
        <v>-0.19289240251072301</v>
      </c>
      <c r="F93" s="2">
        <f t="shared" si="4"/>
        <v>-0.7071633341191238</v>
      </c>
      <c r="G93" s="5">
        <f t="shared" si="5"/>
        <v>-0.51427093160840076</v>
      </c>
      <c r="H93" s="9"/>
    </row>
    <row r="94" spans="1:8" x14ac:dyDescent="0.25">
      <c r="A94" t="s">
        <v>143</v>
      </c>
      <c r="C94">
        <v>6.71</v>
      </c>
      <c r="D94">
        <v>6.36</v>
      </c>
      <c r="G94" s="5">
        <f t="shared" si="5"/>
        <v>0</v>
      </c>
      <c r="H94" s="9"/>
    </row>
    <row r="95" spans="1:8" x14ac:dyDescent="0.25">
      <c r="A95" t="s">
        <v>116</v>
      </c>
      <c r="B95" t="s">
        <v>56</v>
      </c>
      <c r="C95">
        <v>2.0700000000000003</v>
      </c>
      <c r="D95">
        <v>2.08</v>
      </c>
      <c r="E95" s="2">
        <f t="shared" si="3"/>
        <v>-0.88925486644836405</v>
      </c>
      <c r="F95" s="2">
        <f t="shared" si="4"/>
        <v>-0.6355880978722509</v>
      </c>
      <c r="G95" s="5">
        <f t="shared" si="5"/>
        <v>0.25366676857611314</v>
      </c>
      <c r="H95" s="9"/>
    </row>
    <row r="96" spans="1:8" x14ac:dyDescent="0.25">
      <c r="A96" t="s">
        <v>116</v>
      </c>
      <c r="B96" t="s">
        <v>85</v>
      </c>
      <c r="C96">
        <v>2.2200000000000002</v>
      </c>
      <c r="D96">
        <v>2.3099999999999996</v>
      </c>
      <c r="E96" s="2">
        <f t="shared" si="3"/>
        <v>0.1552888294581006</v>
      </c>
      <c r="F96" s="2">
        <f t="shared" si="4"/>
        <v>1.0106423358058569</v>
      </c>
      <c r="G96" s="5">
        <f t="shared" si="5"/>
        <v>0.85535350634775631</v>
      </c>
      <c r="H96" s="9"/>
    </row>
    <row r="97" spans="1:8" x14ac:dyDescent="0.25">
      <c r="A97" t="s">
        <v>116</v>
      </c>
      <c r="B97" t="s">
        <v>12</v>
      </c>
      <c r="C97">
        <v>2.2000000000000002</v>
      </c>
      <c r="D97">
        <v>2.1800000000000002</v>
      </c>
      <c r="E97" s="2">
        <f t="shared" si="3"/>
        <v>1.6016336670571767E-2</v>
      </c>
      <c r="F97" s="2">
        <f t="shared" si="4"/>
        <v>8.0164264596493673E-2</v>
      </c>
      <c r="G97" s="5">
        <f t="shared" si="5"/>
        <v>6.4147927925921902E-2</v>
      </c>
      <c r="H97" s="9"/>
    </row>
    <row r="98" spans="1:8" x14ac:dyDescent="0.25">
      <c r="A98" t="s">
        <v>116</v>
      </c>
      <c r="B98" t="s">
        <v>72</v>
      </c>
      <c r="C98">
        <v>2.0300000000000002</v>
      </c>
      <c r="D98">
        <v>2.11</v>
      </c>
      <c r="E98" s="2">
        <f t="shared" si="3"/>
        <v>-1.1677998520234218</v>
      </c>
      <c r="F98" s="2">
        <f t="shared" si="4"/>
        <v>-0.42086238913162916</v>
      </c>
      <c r="G98" s="5">
        <f t="shared" si="5"/>
        <v>0.74693746289179264</v>
      </c>
      <c r="H98" s="9"/>
    </row>
    <row r="99" spans="1:8" x14ac:dyDescent="0.25">
      <c r="A99" t="s">
        <v>116</v>
      </c>
      <c r="B99" t="s">
        <v>34</v>
      </c>
      <c r="C99">
        <v>2.13</v>
      </c>
      <c r="D99">
        <v>2.1800000000000002</v>
      </c>
      <c r="E99" s="2">
        <f t="shared" si="3"/>
        <v>-0.47143738808578067</v>
      </c>
      <c r="F99" s="2">
        <f t="shared" si="4"/>
        <v>8.0164264596493673E-2</v>
      </c>
      <c r="G99" s="5">
        <f t="shared" si="5"/>
        <v>0.55160165268227435</v>
      </c>
      <c r="H99" s="9"/>
    </row>
    <row r="100" spans="1:8" x14ac:dyDescent="0.25">
      <c r="A100" t="s">
        <v>116</v>
      </c>
      <c r="B100" t="s">
        <v>82</v>
      </c>
      <c r="C100">
        <v>2.09</v>
      </c>
      <c r="D100">
        <v>2.0499999999999998</v>
      </c>
      <c r="E100" s="2">
        <f t="shared" si="3"/>
        <v>-0.74998237366083831</v>
      </c>
      <c r="F100" s="2">
        <f t="shared" si="4"/>
        <v>-0.85031380661287592</v>
      </c>
      <c r="G100" s="5">
        <f t="shared" si="5"/>
        <v>-0.10033143295203761</v>
      </c>
      <c r="H100" s="9"/>
    </row>
    <row r="101" spans="1:8" x14ac:dyDescent="0.25">
      <c r="A101" t="s">
        <v>116</v>
      </c>
      <c r="B101" t="s">
        <v>75</v>
      </c>
      <c r="C101">
        <v>2.17</v>
      </c>
      <c r="D101">
        <v>2.09</v>
      </c>
      <c r="E101" s="2">
        <f t="shared" si="3"/>
        <v>-0.19289240251072301</v>
      </c>
      <c r="F101" s="2">
        <f t="shared" si="4"/>
        <v>-0.564012861625378</v>
      </c>
      <c r="G101" s="5">
        <f t="shared" si="5"/>
        <v>-0.37112045911465497</v>
      </c>
      <c r="H101" s="9"/>
    </row>
    <row r="102" spans="1:8" x14ac:dyDescent="0.25">
      <c r="A102" t="s">
        <v>116</v>
      </c>
      <c r="B102" t="s">
        <v>30</v>
      </c>
      <c r="C102">
        <v>2.25</v>
      </c>
      <c r="D102">
        <v>2.1500000000000004</v>
      </c>
      <c r="E102" s="2">
        <f t="shared" si="3"/>
        <v>0.36419756863939229</v>
      </c>
      <c r="F102" s="2">
        <f t="shared" si="4"/>
        <v>-0.13456144414412813</v>
      </c>
      <c r="G102" s="5">
        <f t="shared" si="5"/>
        <v>-0.49875901278352042</v>
      </c>
      <c r="H102" s="9"/>
    </row>
    <row r="103" spans="1:8" x14ac:dyDescent="0.25">
      <c r="A103" t="s">
        <v>116</v>
      </c>
      <c r="B103" t="s">
        <v>64</v>
      </c>
      <c r="C103">
        <v>2.08</v>
      </c>
      <c r="D103">
        <v>2.04</v>
      </c>
      <c r="E103" s="2">
        <f t="shared" si="3"/>
        <v>-0.81961862005460118</v>
      </c>
      <c r="F103" s="2">
        <f t="shared" si="4"/>
        <v>-0.92188904285974871</v>
      </c>
      <c r="G103" s="5">
        <f t="shared" si="5"/>
        <v>-0.10227042280514753</v>
      </c>
      <c r="H103" s="9"/>
    </row>
    <row r="104" spans="1:8" x14ac:dyDescent="0.25">
      <c r="A104" t="s">
        <v>116</v>
      </c>
      <c r="B104" t="s">
        <v>46</v>
      </c>
      <c r="C104">
        <v>2.09</v>
      </c>
      <c r="D104">
        <v>2.12</v>
      </c>
      <c r="E104" s="2">
        <f t="shared" si="3"/>
        <v>-0.74998237366083831</v>
      </c>
      <c r="F104" s="2">
        <f t="shared" si="4"/>
        <v>-0.34928715288475309</v>
      </c>
      <c r="G104" s="5">
        <f t="shared" si="5"/>
        <v>0.40069522077608521</v>
      </c>
      <c r="H104" s="9"/>
    </row>
    <row r="105" spans="1:8" x14ac:dyDescent="0.25">
      <c r="A105" t="s">
        <v>116</v>
      </c>
      <c r="B105" t="s">
        <v>61</v>
      </c>
      <c r="C105">
        <v>2.1</v>
      </c>
      <c r="D105">
        <v>2.0500000000000003</v>
      </c>
      <c r="E105" s="2">
        <f t="shared" si="3"/>
        <v>-0.68034612726707233</v>
      </c>
      <c r="F105" s="2">
        <f t="shared" si="4"/>
        <v>-0.8503138066128727</v>
      </c>
      <c r="G105" s="5">
        <f t="shared" si="5"/>
        <v>-0.16996767934580037</v>
      </c>
      <c r="H105" s="9"/>
    </row>
    <row r="106" spans="1:8" x14ac:dyDescent="0.25">
      <c r="A106" t="s">
        <v>116</v>
      </c>
      <c r="B106" t="s">
        <v>28</v>
      </c>
      <c r="C106">
        <v>2.2400000000000002</v>
      </c>
      <c r="D106">
        <v>2.1100000000000003</v>
      </c>
      <c r="E106" s="2">
        <f t="shared" si="3"/>
        <v>0.29456132224562942</v>
      </c>
      <c r="F106" s="2">
        <f t="shared" si="4"/>
        <v>-0.42086238913162594</v>
      </c>
      <c r="G106" s="5">
        <f t="shared" si="5"/>
        <v>-0.71542371137725536</v>
      </c>
      <c r="H106" s="9"/>
    </row>
    <row r="107" spans="1:8" x14ac:dyDescent="0.25">
      <c r="A107" t="s">
        <v>116</v>
      </c>
      <c r="B107" t="s">
        <v>98</v>
      </c>
      <c r="C107">
        <v>2.1900000000000004</v>
      </c>
      <c r="D107">
        <v>2.1</v>
      </c>
      <c r="E107" s="2">
        <f t="shared" si="3"/>
        <v>-5.3619909723191098E-2</v>
      </c>
      <c r="F107" s="2">
        <f t="shared" si="4"/>
        <v>-0.492437625378502</v>
      </c>
      <c r="G107" s="5">
        <f t="shared" si="5"/>
        <v>-0.43881771565531091</v>
      </c>
      <c r="H107" s="9"/>
    </row>
    <row r="108" spans="1:8" x14ac:dyDescent="0.25">
      <c r="A108" t="s">
        <v>116</v>
      </c>
      <c r="B108" t="s">
        <v>40</v>
      </c>
      <c r="C108">
        <v>2.2999999999999998</v>
      </c>
      <c r="D108">
        <v>2.31</v>
      </c>
      <c r="E108" s="2">
        <f t="shared" si="3"/>
        <v>0.71237880060821279</v>
      </c>
      <c r="F108" s="2">
        <f t="shared" si="4"/>
        <v>1.01064233580586</v>
      </c>
      <c r="G108" s="5">
        <f t="shared" si="5"/>
        <v>0.29826353519764726</v>
      </c>
      <c r="H108" s="9"/>
    </row>
    <row r="109" spans="1:8" x14ac:dyDescent="0.25">
      <c r="A109" t="s">
        <v>116</v>
      </c>
      <c r="B109" t="s">
        <v>31</v>
      </c>
      <c r="C109">
        <v>2.1500000000000004</v>
      </c>
      <c r="D109">
        <v>2.16</v>
      </c>
      <c r="E109" s="2">
        <f t="shared" si="3"/>
        <v>-0.33216489529824877</v>
      </c>
      <c r="F109" s="2">
        <f t="shared" si="4"/>
        <v>-6.2986207897255245E-2</v>
      </c>
      <c r="G109" s="5">
        <f t="shared" si="5"/>
        <v>0.26917868740099354</v>
      </c>
      <c r="H109" s="9"/>
    </row>
    <row r="110" spans="1:8" x14ac:dyDescent="0.25">
      <c r="A110" t="s">
        <v>116</v>
      </c>
      <c r="B110" t="s">
        <v>97</v>
      </c>
      <c r="C110">
        <v>1.9400000000000002</v>
      </c>
      <c r="D110">
        <v>1.94</v>
      </c>
      <c r="E110" s="2">
        <f t="shared" si="3"/>
        <v>-1.7945260695673015</v>
      </c>
      <c r="F110" s="2">
        <f t="shared" si="4"/>
        <v>-1.6376414053284933</v>
      </c>
      <c r="G110" s="5">
        <f t="shared" si="5"/>
        <v>0.1568846642388082</v>
      </c>
      <c r="H110" s="9"/>
    </row>
    <row r="111" spans="1:8" x14ac:dyDescent="0.25">
      <c r="A111" t="s">
        <v>116</v>
      </c>
      <c r="B111" t="s">
        <v>71</v>
      </c>
      <c r="C111">
        <v>2.0300000000000002</v>
      </c>
      <c r="D111">
        <v>2.09</v>
      </c>
      <c r="E111" s="2">
        <f t="shared" si="3"/>
        <v>-1.1677998520234218</v>
      </c>
      <c r="F111" s="2">
        <f t="shared" si="4"/>
        <v>-0.564012861625378</v>
      </c>
      <c r="G111" s="5">
        <f t="shared" si="5"/>
        <v>0.60378699039804384</v>
      </c>
      <c r="H111" s="9"/>
    </row>
    <row r="112" spans="1:8" x14ac:dyDescent="0.25">
      <c r="A112" t="s">
        <v>116</v>
      </c>
      <c r="B112" t="s">
        <v>48</v>
      </c>
      <c r="C112">
        <v>2.17</v>
      </c>
      <c r="D112">
        <v>2.1</v>
      </c>
      <c r="E112" s="2">
        <f t="shared" si="3"/>
        <v>-0.19289240251072301</v>
      </c>
      <c r="F112" s="2">
        <f t="shared" si="4"/>
        <v>-0.492437625378502</v>
      </c>
      <c r="G112" s="5">
        <f t="shared" si="5"/>
        <v>-0.29954522286777896</v>
      </c>
      <c r="H112" s="9"/>
    </row>
    <row r="113" spans="1:8" x14ac:dyDescent="0.25">
      <c r="A113" t="s">
        <v>116</v>
      </c>
      <c r="B113" t="s">
        <v>68</v>
      </c>
      <c r="C113">
        <v>2.1900000000000004</v>
      </c>
      <c r="D113">
        <v>2.2000000000000002</v>
      </c>
      <c r="E113" s="2">
        <f t="shared" si="3"/>
        <v>-5.3619909723191098E-2</v>
      </c>
      <c r="F113" s="2">
        <f t="shared" si="4"/>
        <v>0.2233147370902426</v>
      </c>
      <c r="G113" s="5">
        <f t="shared" si="5"/>
        <v>0.27693464681343372</v>
      </c>
      <c r="H113" s="9"/>
    </row>
    <row r="114" spans="1:8" x14ac:dyDescent="0.25">
      <c r="A114" t="s">
        <v>116</v>
      </c>
      <c r="B114" t="s">
        <v>95</v>
      </c>
      <c r="C114">
        <v>2.09</v>
      </c>
      <c r="D114">
        <v>2.13</v>
      </c>
      <c r="E114" s="2">
        <f t="shared" si="3"/>
        <v>-0.74998237366083831</v>
      </c>
      <c r="F114" s="2">
        <f t="shared" si="4"/>
        <v>-0.2777119166378802</v>
      </c>
      <c r="G114" s="5">
        <f t="shared" si="5"/>
        <v>0.47227045702295811</v>
      </c>
      <c r="H114" s="9"/>
    </row>
    <row r="115" spans="1:8" x14ac:dyDescent="0.25">
      <c r="A115" t="s">
        <v>144</v>
      </c>
      <c r="C115">
        <v>42.730000000000004</v>
      </c>
      <c r="D115">
        <v>42.5</v>
      </c>
      <c r="G115" s="5">
        <f t="shared" si="5"/>
        <v>0</v>
      </c>
      <c r="H115" s="9"/>
    </row>
    <row r="116" spans="1:8" x14ac:dyDescent="0.25">
      <c r="A116" t="s">
        <v>118</v>
      </c>
      <c r="B116" t="s">
        <v>87</v>
      </c>
      <c r="C116">
        <v>1.94</v>
      </c>
      <c r="D116">
        <v>2.06</v>
      </c>
      <c r="E116" s="2">
        <f t="shared" si="3"/>
        <v>-1.7945260695673031</v>
      </c>
      <c r="F116" s="2">
        <f t="shared" si="4"/>
        <v>-0.7787385703659998</v>
      </c>
      <c r="G116" s="5">
        <f t="shared" si="5"/>
        <v>1.0157874992013034</v>
      </c>
      <c r="H116" s="9"/>
    </row>
    <row r="117" spans="1:8" x14ac:dyDescent="0.25">
      <c r="A117" t="s">
        <v>118</v>
      </c>
      <c r="B117" t="s">
        <v>15</v>
      </c>
      <c r="C117">
        <v>2.1800000000000002</v>
      </c>
      <c r="D117">
        <v>2.31</v>
      </c>
      <c r="E117" s="2">
        <f t="shared" si="3"/>
        <v>-0.12325615611695706</v>
      </c>
      <c r="F117" s="2">
        <f t="shared" si="4"/>
        <v>1.01064233580586</v>
      </c>
      <c r="G117" s="5">
        <f t="shared" si="5"/>
        <v>1.133898491922817</v>
      </c>
      <c r="H117" s="9"/>
    </row>
    <row r="118" spans="1:8" x14ac:dyDescent="0.25">
      <c r="A118" t="s">
        <v>118</v>
      </c>
      <c r="B118" t="s">
        <v>21</v>
      </c>
      <c r="C118">
        <v>2.29</v>
      </c>
      <c r="D118">
        <v>2.34</v>
      </c>
      <c r="E118" s="2">
        <f t="shared" si="3"/>
        <v>0.64274255421444992</v>
      </c>
      <c r="F118" s="2">
        <f t="shared" si="4"/>
        <v>1.2253680445464818</v>
      </c>
      <c r="G118" s="5">
        <f t="shared" si="5"/>
        <v>0.58262549033203193</v>
      </c>
      <c r="H118" s="9"/>
    </row>
    <row r="119" spans="1:8" x14ac:dyDescent="0.25">
      <c r="A119" t="s">
        <v>145</v>
      </c>
      <c r="C119">
        <v>6.41</v>
      </c>
      <c r="D119">
        <v>6.71</v>
      </c>
    </row>
    <row r="120" spans="1:8" x14ac:dyDescent="0.25">
      <c r="A120" t="s">
        <v>129</v>
      </c>
      <c r="C120">
        <v>219.76999999999995</v>
      </c>
      <c r="D120">
        <v>216.88000000000008</v>
      </c>
    </row>
    <row r="122" spans="1:8" x14ac:dyDescent="0.25">
      <c r="B122" t="s">
        <v>146</v>
      </c>
      <c r="C122" s="2">
        <f>C120/100</f>
        <v>2.1976999999999993</v>
      </c>
      <c r="D122" s="2">
        <f>D120/100</f>
        <v>2.1688000000000009</v>
      </c>
    </row>
    <row r="123" spans="1:8" x14ac:dyDescent="0.25">
      <c r="B123" t="s">
        <v>147</v>
      </c>
      <c r="C123" s="3">
        <f>_xlfn.STDEV.S(C5:C7,C9:C13,C15:C20,C22:C32,C34:C49,C51:C57,C59:C61,C63:C67,C69:C75,C77:C81,C83:C86,C88:C89,C91:C93,C95:C114,C116:C118)</f>
        <v>0.14360337493572112</v>
      </c>
      <c r="D123" s="3">
        <f>_xlfn.STDEV.S(D5:D7,D9:D13,D15:D20,D22:D32,D34:D49,D51:D57,D59:D61,D63:D67,D69:D75,D77:D81,D83:D86,D88:D89,D91:D93,D95:D114,D116:D118)</f>
        <v>0.13971312599665625</v>
      </c>
    </row>
  </sheetData>
  <mergeCells count="1">
    <mergeCell ref="E3:F3"/>
  </mergeCells>
  <conditionalFormatting sqref="G5:H118">
    <cfRule type="cellIs" dxfId="3" priority="1" operator="lessThan">
      <formula>-0.35</formula>
    </cfRule>
    <cfRule type="cellIs" dxfId="2" priority="2" operator="greaterThan">
      <formula>0.35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07A6B-DE75-49CA-B4B6-B69F9A0A7753}">
  <dimension ref="A1:C101"/>
  <sheetViews>
    <sheetView topLeftCell="A48" workbookViewId="0">
      <selection activeCell="E82" sqref="E82"/>
    </sheetView>
  </sheetViews>
  <sheetFormatPr defaultRowHeight="15" x14ac:dyDescent="0.25"/>
  <cols>
    <col min="1" max="1" width="17.5703125" bestFit="1" customWidth="1"/>
    <col min="2" max="2" width="26.85546875" bestFit="1" customWidth="1"/>
    <col min="3" max="3" width="17.28515625" bestFit="1" customWidth="1"/>
  </cols>
  <sheetData>
    <row r="1" spans="1:3" x14ac:dyDescent="0.25">
      <c r="A1" t="s">
        <v>110</v>
      </c>
      <c r="B1" t="s">
        <v>2</v>
      </c>
      <c r="C1" s="4" t="s">
        <v>149</v>
      </c>
    </row>
    <row r="2" spans="1:3" x14ac:dyDescent="0.25">
      <c r="A2" t="s">
        <v>125</v>
      </c>
      <c r="B2" t="s">
        <v>39</v>
      </c>
      <c r="C2" s="5">
        <v>-0.55870030991173614</v>
      </c>
    </row>
    <row r="3" spans="1:3" x14ac:dyDescent="0.25">
      <c r="A3" t="s">
        <v>125</v>
      </c>
      <c r="B3" t="s">
        <v>13</v>
      </c>
      <c r="C3" s="5">
        <v>-0.75403612012126064</v>
      </c>
    </row>
    <row r="4" spans="1:3" x14ac:dyDescent="0.25">
      <c r="A4" t="s">
        <v>125</v>
      </c>
      <c r="B4" t="s">
        <v>45</v>
      </c>
      <c r="C4" s="5">
        <v>-1.6903311608899541</v>
      </c>
    </row>
    <row r="5" spans="1:3" x14ac:dyDescent="0.25">
      <c r="A5" t="s">
        <v>117</v>
      </c>
      <c r="B5" t="s">
        <v>23</v>
      </c>
      <c r="C5" s="5">
        <v>1.7779559769476427E-2</v>
      </c>
    </row>
    <row r="6" spans="1:3" x14ac:dyDescent="0.25">
      <c r="A6" t="s">
        <v>117</v>
      </c>
      <c r="B6" t="s">
        <v>4</v>
      </c>
      <c r="C6" s="5">
        <v>0.28485799454406946</v>
      </c>
    </row>
    <row r="7" spans="1:3" x14ac:dyDescent="0.25">
      <c r="A7" t="s">
        <v>117</v>
      </c>
      <c r="B7" t="s">
        <v>29</v>
      </c>
      <c r="C7" s="5">
        <v>-0.14863879096158988</v>
      </c>
    </row>
    <row r="8" spans="1:3" x14ac:dyDescent="0.25">
      <c r="A8" t="s">
        <v>117</v>
      </c>
      <c r="B8" t="s">
        <v>25</v>
      </c>
      <c r="C8" s="5">
        <v>-4.7978706918066383E-2</v>
      </c>
    </row>
    <row r="9" spans="1:3" x14ac:dyDescent="0.25">
      <c r="A9" t="s">
        <v>117</v>
      </c>
      <c r="B9" t="s">
        <v>14</v>
      </c>
      <c r="C9" s="5">
        <v>-0.39228195918066677</v>
      </c>
    </row>
    <row r="10" spans="1:3" x14ac:dyDescent="0.25">
      <c r="A10" t="s">
        <v>120</v>
      </c>
      <c r="B10" t="s">
        <v>9</v>
      </c>
      <c r="C10" s="5">
        <v>-1.7502724580181699</v>
      </c>
    </row>
    <row r="11" spans="1:3" x14ac:dyDescent="0.25">
      <c r="A11" t="s">
        <v>120</v>
      </c>
      <c r="B11" t="s">
        <v>58</v>
      </c>
      <c r="C11" s="5">
        <v>-0.34785258087733445</v>
      </c>
    </row>
    <row r="12" spans="1:3" x14ac:dyDescent="0.25">
      <c r="A12" t="s">
        <v>120</v>
      </c>
      <c r="B12" t="s">
        <v>24</v>
      </c>
      <c r="C12" s="5">
        <v>-0.16980029102760485</v>
      </c>
    </row>
    <row r="13" spans="1:3" x14ac:dyDescent="0.25">
      <c r="A13" t="s">
        <v>120</v>
      </c>
      <c r="B13" t="s">
        <v>50</v>
      </c>
      <c r="C13" s="5">
        <v>-0.40003791859311</v>
      </c>
    </row>
    <row r="14" spans="1:3" x14ac:dyDescent="0.25">
      <c r="A14" t="s">
        <v>120</v>
      </c>
      <c r="B14" t="s">
        <v>33</v>
      </c>
      <c r="C14" s="5">
        <v>-0.56063929976484306</v>
      </c>
    </row>
    <row r="15" spans="1:3" x14ac:dyDescent="0.25">
      <c r="A15" t="s">
        <v>120</v>
      </c>
      <c r="B15" t="s">
        <v>35</v>
      </c>
      <c r="C15" s="5">
        <v>0.3582048323258567</v>
      </c>
    </row>
    <row r="16" spans="1:3" x14ac:dyDescent="0.25">
      <c r="A16" t="s">
        <v>115</v>
      </c>
      <c r="B16" t="s">
        <v>57</v>
      </c>
      <c r="C16" s="5">
        <v>0.2827516163727638</v>
      </c>
    </row>
    <row r="17" spans="1:3" x14ac:dyDescent="0.25">
      <c r="A17" t="s">
        <v>115</v>
      </c>
      <c r="B17" t="s">
        <v>91</v>
      </c>
      <c r="C17" s="5">
        <v>0.35432685261963981</v>
      </c>
    </row>
    <row r="18" spans="1:3" x14ac:dyDescent="0.25">
      <c r="A18" t="s">
        <v>115</v>
      </c>
      <c r="B18" t="s">
        <v>60</v>
      </c>
      <c r="C18" s="5">
        <v>-0.50263699248974669</v>
      </c>
    </row>
    <row r="19" spans="1:3" x14ac:dyDescent="0.25">
      <c r="A19" t="s">
        <v>115</v>
      </c>
      <c r="B19" t="s">
        <v>67</v>
      </c>
      <c r="C19" s="5">
        <v>-0.44851266492086123</v>
      </c>
    </row>
    <row r="20" spans="1:3" x14ac:dyDescent="0.25">
      <c r="A20" t="s">
        <v>115</v>
      </c>
      <c r="B20" t="s">
        <v>18</v>
      </c>
      <c r="C20" s="5">
        <v>0.33493695408853624</v>
      </c>
    </row>
    <row r="21" spans="1:3" x14ac:dyDescent="0.25">
      <c r="A21" t="s">
        <v>115</v>
      </c>
      <c r="B21" t="s">
        <v>16</v>
      </c>
      <c r="C21" s="5">
        <v>1.0836521440601548</v>
      </c>
    </row>
    <row r="22" spans="1:3" x14ac:dyDescent="0.25">
      <c r="A22" t="s">
        <v>115</v>
      </c>
      <c r="B22" t="s">
        <v>89</v>
      </c>
      <c r="C22" s="5">
        <v>-0.38857136779264545</v>
      </c>
    </row>
    <row r="23" spans="1:3" x14ac:dyDescent="0.25">
      <c r="A23" t="s">
        <v>115</v>
      </c>
      <c r="B23" t="s">
        <v>73</v>
      </c>
      <c r="C23" s="5">
        <v>1.3098444036012413</v>
      </c>
    </row>
    <row r="24" spans="1:3" x14ac:dyDescent="0.25">
      <c r="A24" t="s">
        <v>115</v>
      </c>
      <c r="B24" t="s">
        <v>63</v>
      </c>
      <c r="C24" s="5">
        <v>-7.1246585155383707E-2</v>
      </c>
    </row>
    <row r="25" spans="1:3" x14ac:dyDescent="0.25">
      <c r="A25" t="s">
        <v>115</v>
      </c>
      <c r="B25" t="s">
        <v>19</v>
      </c>
      <c r="C25" s="5">
        <v>0.14929609314456194</v>
      </c>
    </row>
    <row r="26" spans="1:3" x14ac:dyDescent="0.25">
      <c r="A26" t="s">
        <v>115</v>
      </c>
      <c r="B26" t="s">
        <v>86</v>
      </c>
      <c r="C26" s="5">
        <v>0.89590490494487163</v>
      </c>
    </row>
    <row r="27" spans="1:3" x14ac:dyDescent="0.25">
      <c r="A27" t="s">
        <v>114</v>
      </c>
      <c r="B27" t="s">
        <v>51</v>
      </c>
      <c r="C27" s="5">
        <v>-0.71542371137725536</v>
      </c>
    </row>
    <row r="28" spans="1:3" x14ac:dyDescent="0.25">
      <c r="A28" t="s">
        <v>114</v>
      </c>
      <c r="B28" t="s">
        <v>41</v>
      </c>
      <c r="C28" s="5">
        <v>0.50717227437893586</v>
      </c>
    </row>
    <row r="29" spans="1:3" x14ac:dyDescent="0.25">
      <c r="A29" t="s">
        <v>114</v>
      </c>
      <c r="B29" t="s">
        <v>8</v>
      </c>
      <c r="C29" s="5">
        <v>-0.21051907794291566</v>
      </c>
    </row>
    <row r="30" spans="1:3" x14ac:dyDescent="0.25">
      <c r="A30" t="s">
        <v>114</v>
      </c>
      <c r="B30" t="s">
        <v>66</v>
      </c>
      <c r="C30" s="5">
        <v>-0.31117916198644224</v>
      </c>
    </row>
    <row r="31" spans="1:3" x14ac:dyDescent="0.25">
      <c r="A31" t="s">
        <v>114</v>
      </c>
      <c r="B31" t="s">
        <v>53</v>
      </c>
      <c r="C31" s="5">
        <v>-1.8683834507396868</v>
      </c>
    </row>
    <row r="32" spans="1:3" x14ac:dyDescent="0.25">
      <c r="A32" t="s">
        <v>114</v>
      </c>
      <c r="B32" t="s">
        <v>103</v>
      </c>
      <c r="C32" s="5">
        <v>0.10469932652303726</v>
      </c>
    </row>
    <row r="33" spans="1:3" x14ac:dyDescent="0.25">
      <c r="A33" t="s">
        <v>114</v>
      </c>
      <c r="B33" t="s">
        <v>49</v>
      </c>
      <c r="C33" s="5">
        <v>-0.27433835477734841</v>
      </c>
    </row>
    <row r="34" spans="1:3" x14ac:dyDescent="0.25">
      <c r="A34" t="s">
        <v>114</v>
      </c>
      <c r="B34" t="s">
        <v>88</v>
      </c>
      <c r="C34" s="5">
        <v>-0.32281310110510097</v>
      </c>
    </row>
    <row r="35" spans="1:3" x14ac:dyDescent="0.25">
      <c r="A35" t="s">
        <v>114</v>
      </c>
      <c r="B35" t="s">
        <v>74</v>
      </c>
      <c r="C35" s="5">
        <v>-0.23766493588645621</v>
      </c>
    </row>
    <row r="36" spans="1:3" x14ac:dyDescent="0.25">
      <c r="A36" t="s">
        <v>114</v>
      </c>
      <c r="B36" t="s">
        <v>38</v>
      </c>
      <c r="C36" s="5">
        <v>0.2943855554914272</v>
      </c>
    </row>
    <row r="37" spans="1:3" x14ac:dyDescent="0.25">
      <c r="A37" t="s">
        <v>114</v>
      </c>
      <c r="B37" t="s">
        <v>44</v>
      </c>
      <c r="C37" s="5">
        <v>0.977175090457298</v>
      </c>
    </row>
    <row r="38" spans="1:3" x14ac:dyDescent="0.25">
      <c r="A38" t="s">
        <v>114</v>
      </c>
      <c r="B38" t="s">
        <v>26</v>
      </c>
      <c r="C38" s="5">
        <v>-0.91851548099921698</v>
      </c>
    </row>
    <row r="39" spans="1:3" x14ac:dyDescent="0.25">
      <c r="A39" t="s">
        <v>114</v>
      </c>
      <c r="B39" t="s">
        <v>36</v>
      </c>
      <c r="C39" s="5">
        <v>-1.3460279086273568</v>
      </c>
    </row>
    <row r="40" spans="1:3" x14ac:dyDescent="0.25">
      <c r="A40" t="s">
        <v>114</v>
      </c>
      <c r="B40" t="s">
        <v>101</v>
      </c>
      <c r="C40" s="5">
        <v>-0.1158433517769164</v>
      </c>
    </row>
    <row r="41" spans="1:3" x14ac:dyDescent="0.25">
      <c r="A41" t="s">
        <v>114</v>
      </c>
      <c r="B41" t="s">
        <v>42</v>
      </c>
      <c r="C41" s="5">
        <v>0.44141400769139616</v>
      </c>
    </row>
    <row r="42" spans="1:3" x14ac:dyDescent="0.25">
      <c r="A42" t="s">
        <v>114</v>
      </c>
      <c r="B42" t="s">
        <v>10</v>
      </c>
      <c r="C42" s="5">
        <v>-0.2646434055117981</v>
      </c>
    </row>
    <row r="43" spans="1:3" x14ac:dyDescent="0.25">
      <c r="A43" t="s">
        <v>126</v>
      </c>
      <c r="B43" t="s">
        <v>20</v>
      </c>
      <c r="C43" s="5">
        <v>0.62123789907603721</v>
      </c>
    </row>
    <row r="44" spans="1:3" x14ac:dyDescent="0.25">
      <c r="A44" t="s">
        <v>126</v>
      </c>
      <c r="B44" t="s">
        <v>5</v>
      </c>
      <c r="C44" s="5">
        <v>0.29843092351584266</v>
      </c>
    </row>
    <row r="45" spans="1:3" x14ac:dyDescent="0.25">
      <c r="A45" t="s">
        <v>126</v>
      </c>
      <c r="B45" t="s">
        <v>80</v>
      </c>
      <c r="C45" s="5">
        <v>0.19372547144790048</v>
      </c>
    </row>
    <row r="46" spans="1:3" x14ac:dyDescent="0.25">
      <c r="A46" t="s">
        <v>126</v>
      </c>
      <c r="B46" t="s">
        <v>6</v>
      </c>
      <c r="C46" s="5">
        <v>-1.2666967129680404</v>
      </c>
    </row>
    <row r="47" spans="1:3" x14ac:dyDescent="0.25">
      <c r="A47" t="s">
        <v>126</v>
      </c>
      <c r="B47" t="s">
        <v>78</v>
      </c>
      <c r="C47" s="5">
        <v>0.60572598025115687</v>
      </c>
    </row>
    <row r="48" spans="1:3" x14ac:dyDescent="0.25">
      <c r="A48" t="s">
        <v>126</v>
      </c>
      <c r="B48" t="s">
        <v>69</v>
      </c>
      <c r="C48" s="5">
        <v>0.8862099556793277</v>
      </c>
    </row>
    <row r="49" spans="1:3" x14ac:dyDescent="0.25">
      <c r="A49" t="s">
        <v>126</v>
      </c>
      <c r="B49" t="s">
        <v>84</v>
      </c>
      <c r="C49" s="5">
        <v>0.18209153232924025</v>
      </c>
    </row>
    <row r="50" spans="1:3" x14ac:dyDescent="0.25">
      <c r="A50" t="s">
        <v>124</v>
      </c>
      <c r="B50" t="s">
        <v>11</v>
      </c>
      <c r="C50" s="5">
        <v>-0.89718659261500955</v>
      </c>
    </row>
    <row r="51" spans="1:3" x14ac:dyDescent="0.25">
      <c r="A51" t="s">
        <v>124</v>
      </c>
      <c r="B51" t="s">
        <v>55</v>
      </c>
      <c r="C51" s="5">
        <v>-0.10808739236447762</v>
      </c>
    </row>
    <row r="52" spans="1:3" x14ac:dyDescent="0.25">
      <c r="A52" t="s">
        <v>124</v>
      </c>
      <c r="B52" t="s">
        <v>32</v>
      </c>
      <c r="C52" s="5">
        <v>-0.1930681692649252</v>
      </c>
    </row>
    <row r="53" spans="1:3" x14ac:dyDescent="0.25">
      <c r="A53" t="s">
        <v>119</v>
      </c>
      <c r="B53" t="s">
        <v>47</v>
      </c>
      <c r="C53" s="5">
        <v>0.65613971643202107</v>
      </c>
    </row>
    <row r="54" spans="1:3" x14ac:dyDescent="0.25">
      <c r="A54" t="s">
        <v>119</v>
      </c>
      <c r="B54" t="s">
        <v>77</v>
      </c>
      <c r="C54" s="5">
        <v>-0.37112045911465497</v>
      </c>
    </row>
    <row r="55" spans="1:3" x14ac:dyDescent="0.25">
      <c r="A55" t="s">
        <v>119</v>
      </c>
      <c r="B55" t="s">
        <v>7</v>
      </c>
      <c r="C55" s="5">
        <v>1.3332796701567542</v>
      </c>
    </row>
    <row r="56" spans="1:3" x14ac:dyDescent="0.25">
      <c r="A56" t="s">
        <v>119</v>
      </c>
      <c r="B56" t="s">
        <v>81</v>
      </c>
      <c r="C56" s="5">
        <v>-0.80638884615523199</v>
      </c>
    </row>
    <row r="57" spans="1:3" x14ac:dyDescent="0.25">
      <c r="A57" t="s">
        <v>119</v>
      </c>
      <c r="B57" t="s">
        <v>93</v>
      </c>
      <c r="C57" s="5">
        <v>-0.17384565905202043</v>
      </c>
    </row>
    <row r="58" spans="1:3" x14ac:dyDescent="0.25">
      <c r="A58" t="s">
        <v>113</v>
      </c>
      <c r="B58" t="s">
        <v>27</v>
      </c>
      <c r="C58" s="5">
        <v>0.66001769613823491</v>
      </c>
    </row>
    <row r="59" spans="1:3" x14ac:dyDescent="0.25">
      <c r="A59" t="s">
        <v>113</v>
      </c>
      <c r="B59" t="s">
        <v>22</v>
      </c>
      <c r="C59" s="5">
        <v>0.6270548686353643</v>
      </c>
    </row>
    <row r="60" spans="1:3" x14ac:dyDescent="0.25">
      <c r="A60" t="s">
        <v>113</v>
      </c>
      <c r="B60" t="s">
        <v>65</v>
      </c>
      <c r="C60" s="5">
        <v>0.40457320048230228</v>
      </c>
    </row>
    <row r="61" spans="1:3" x14ac:dyDescent="0.25">
      <c r="A61" t="s">
        <v>113</v>
      </c>
      <c r="B61" t="s">
        <v>94</v>
      </c>
      <c r="C61" s="5">
        <v>0.54190670341672098</v>
      </c>
    </row>
    <row r="62" spans="1:3" x14ac:dyDescent="0.25">
      <c r="A62" t="s">
        <v>113</v>
      </c>
      <c r="B62" t="s">
        <v>92</v>
      </c>
      <c r="C62" s="5">
        <v>0.53802872371050414</v>
      </c>
    </row>
    <row r="63" spans="1:3" x14ac:dyDescent="0.25">
      <c r="A63" t="s">
        <v>113</v>
      </c>
      <c r="B63" t="s">
        <v>43</v>
      </c>
      <c r="C63" s="5">
        <v>2.2676409445992474E-3</v>
      </c>
    </row>
    <row r="64" spans="1:3" x14ac:dyDescent="0.25">
      <c r="A64" t="s">
        <v>113</v>
      </c>
      <c r="B64" t="s">
        <v>100</v>
      </c>
      <c r="C64" s="5">
        <v>0.39487825121675513</v>
      </c>
    </row>
    <row r="65" spans="1:3" x14ac:dyDescent="0.25">
      <c r="A65" t="s">
        <v>121</v>
      </c>
      <c r="B65" t="s">
        <v>37</v>
      </c>
      <c r="C65" s="5">
        <v>0.14735710329145507</v>
      </c>
    </row>
    <row r="66" spans="1:3" x14ac:dyDescent="0.25">
      <c r="A66" t="s">
        <v>121</v>
      </c>
      <c r="B66" t="s">
        <v>79</v>
      </c>
      <c r="C66" s="5">
        <v>0.52445579473873061</v>
      </c>
    </row>
    <row r="67" spans="1:3" x14ac:dyDescent="0.25">
      <c r="A67" t="s">
        <v>121</v>
      </c>
      <c r="B67" t="s">
        <v>54</v>
      </c>
      <c r="C67" s="5">
        <v>-0.22796998662090293</v>
      </c>
    </row>
    <row r="68" spans="1:3" x14ac:dyDescent="0.25">
      <c r="A68" t="s">
        <v>121</v>
      </c>
      <c r="B68" t="s">
        <v>90</v>
      </c>
      <c r="C68" s="5">
        <v>-0.32475209095820956</v>
      </c>
    </row>
    <row r="69" spans="1:3" x14ac:dyDescent="0.25">
      <c r="A69" t="s">
        <v>121</v>
      </c>
      <c r="B69" t="s">
        <v>62</v>
      </c>
      <c r="C69" s="5">
        <v>-0.72899664034902567</v>
      </c>
    </row>
    <row r="70" spans="1:3" x14ac:dyDescent="0.25">
      <c r="A70" t="s">
        <v>123</v>
      </c>
      <c r="B70" t="s">
        <v>102</v>
      </c>
      <c r="C70" s="5">
        <v>-0.11778234163002632</v>
      </c>
    </row>
    <row r="71" spans="1:3" x14ac:dyDescent="0.25">
      <c r="A71" t="s">
        <v>123</v>
      </c>
      <c r="B71" t="s">
        <v>99</v>
      </c>
      <c r="C71" s="5">
        <v>8.7248417845046777E-2</v>
      </c>
    </row>
    <row r="72" spans="1:3" x14ac:dyDescent="0.25">
      <c r="A72" t="s">
        <v>123</v>
      </c>
      <c r="B72" t="s">
        <v>52</v>
      </c>
      <c r="C72" s="5">
        <v>0.98299206001662798</v>
      </c>
    </row>
    <row r="73" spans="1:3" x14ac:dyDescent="0.25">
      <c r="A73" t="s">
        <v>123</v>
      </c>
      <c r="B73" t="s">
        <v>70</v>
      </c>
      <c r="C73" s="5">
        <v>-0.38275439823331514</v>
      </c>
    </row>
    <row r="74" spans="1:3" x14ac:dyDescent="0.25">
      <c r="A74" t="s">
        <v>127</v>
      </c>
      <c r="B74" t="s">
        <v>76</v>
      </c>
      <c r="C74" s="5">
        <v>0.20923739027278082</v>
      </c>
    </row>
    <row r="75" spans="1:3" x14ac:dyDescent="0.25">
      <c r="A75" t="s">
        <v>127</v>
      </c>
      <c r="B75" t="s">
        <v>59</v>
      </c>
      <c r="C75" s="5">
        <v>-1.6103387616208664E-3</v>
      </c>
    </row>
    <row r="76" spans="1:3" x14ac:dyDescent="0.25">
      <c r="A76" t="s">
        <v>122</v>
      </c>
      <c r="B76" t="s">
        <v>17</v>
      </c>
      <c r="C76" s="5">
        <v>-1.2376118651713901</v>
      </c>
    </row>
    <row r="77" spans="1:3" x14ac:dyDescent="0.25">
      <c r="A77" t="s">
        <v>122</v>
      </c>
      <c r="B77" t="s">
        <v>96</v>
      </c>
      <c r="C77" s="5">
        <v>-0.11002638221758776</v>
      </c>
    </row>
    <row r="78" spans="1:3" x14ac:dyDescent="0.25">
      <c r="A78" t="s">
        <v>122</v>
      </c>
      <c r="B78" t="s">
        <v>83</v>
      </c>
      <c r="C78" s="5">
        <v>-0.51427093160840076</v>
      </c>
    </row>
    <row r="79" spans="1:3" x14ac:dyDescent="0.25">
      <c r="A79" t="s">
        <v>116</v>
      </c>
      <c r="B79" t="s">
        <v>56</v>
      </c>
      <c r="C79" s="5">
        <v>0.25366676857611314</v>
      </c>
    </row>
    <row r="80" spans="1:3" x14ac:dyDescent="0.25">
      <c r="A80" t="s">
        <v>116</v>
      </c>
      <c r="B80" t="s">
        <v>85</v>
      </c>
      <c r="C80" s="5">
        <v>0.85535350634775631</v>
      </c>
    </row>
    <row r="81" spans="1:3" x14ac:dyDescent="0.25">
      <c r="A81" t="s">
        <v>116</v>
      </c>
      <c r="B81" t="s">
        <v>12</v>
      </c>
      <c r="C81" s="5">
        <v>6.4147927925921902E-2</v>
      </c>
    </row>
    <row r="82" spans="1:3" x14ac:dyDescent="0.25">
      <c r="A82" t="s">
        <v>116</v>
      </c>
      <c r="B82" t="s">
        <v>72</v>
      </c>
      <c r="C82" s="5">
        <v>0.74693746289179264</v>
      </c>
    </row>
    <row r="83" spans="1:3" x14ac:dyDescent="0.25">
      <c r="A83" t="s">
        <v>116</v>
      </c>
      <c r="B83" t="s">
        <v>34</v>
      </c>
      <c r="C83" s="5">
        <v>0.55160165268227435</v>
      </c>
    </row>
    <row r="84" spans="1:3" x14ac:dyDescent="0.25">
      <c r="A84" t="s">
        <v>116</v>
      </c>
      <c r="B84" t="s">
        <v>82</v>
      </c>
      <c r="C84" s="5">
        <v>-0.10033143295203761</v>
      </c>
    </row>
    <row r="85" spans="1:3" x14ac:dyDescent="0.25">
      <c r="A85" t="s">
        <v>116</v>
      </c>
      <c r="B85" t="s">
        <v>75</v>
      </c>
      <c r="C85" s="5">
        <v>-0.37112045911465497</v>
      </c>
    </row>
    <row r="86" spans="1:3" x14ac:dyDescent="0.25">
      <c r="A86" t="s">
        <v>116</v>
      </c>
      <c r="B86" t="s">
        <v>30</v>
      </c>
      <c r="C86" s="5">
        <v>-0.49875901278352042</v>
      </c>
    </row>
    <row r="87" spans="1:3" x14ac:dyDescent="0.25">
      <c r="A87" t="s">
        <v>116</v>
      </c>
      <c r="B87" t="s">
        <v>64</v>
      </c>
      <c r="C87" s="5">
        <v>-0.10227042280514753</v>
      </c>
    </row>
    <row r="88" spans="1:3" x14ac:dyDescent="0.25">
      <c r="A88" t="s">
        <v>116</v>
      </c>
      <c r="B88" t="s">
        <v>46</v>
      </c>
      <c r="C88" s="5">
        <v>0.40069522077608521</v>
      </c>
    </row>
    <row r="89" spans="1:3" x14ac:dyDescent="0.25">
      <c r="A89" t="s">
        <v>116</v>
      </c>
      <c r="B89" t="s">
        <v>61</v>
      </c>
      <c r="C89" s="5">
        <v>-0.16996767934580037</v>
      </c>
    </row>
    <row r="90" spans="1:3" x14ac:dyDescent="0.25">
      <c r="A90" t="s">
        <v>116</v>
      </c>
      <c r="B90" t="s">
        <v>28</v>
      </c>
      <c r="C90" s="5">
        <v>-0.71542371137725536</v>
      </c>
    </row>
    <row r="91" spans="1:3" x14ac:dyDescent="0.25">
      <c r="A91" t="s">
        <v>116</v>
      </c>
      <c r="B91" t="s">
        <v>98</v>
      </c>
      <c r="C91" s="5">
        <v>-0.43881771565531091</v>
      </c>
    </row>
    <row r="92" spans="1:3" x14ac:dyDescent="0.25">
      <c r="A92" t="s">
        <v>116</v>
      </c>
      <c r="B92" t="s">
        <v>40</v>
      </c>
      <c r="C92" s="5">
        <v>0.29826353519764726</v>
      </c>
    </row>
    <row r="93" spans="1:3" x14ac:dyDescent="0.25">
      <c r="A93" t="s">
        <v>116</v>
      </c>
      <c r="B93" t="s">
        <v>31</v>
      </c>
      <c r="C93" s="5">
        <v>0.26917868740099354</v>
      </c>
    </row>
    <row r="94" spans="1:3" x14ac:dyDescent="0.25">
      <c r="A94" t="s">
        <v>116</v>
      </c>
      <c r="B94" t="s">
        <v>97</v>
      </c>
      <c r="C94" s="5">
        <v>0.1568846642388082</v>
      </c>
    </row>
    <row r="95" spans="1:3" x14ac:dyDescent="0.25">
      <c r="A95" t="s">
        <v>116</v>
      </c>
      <c r="B95" t="s">
        <v>71</v>
      </c>
      <c r="C95" s="5">
        <v>0.60378699039804384</v>
      </c>
    </row>
    <row r="96" spans="1:3" x14ac:dyDescent="0.25">
      <c r="A96" t="s">
        <v>116</v>
      </c>
      <c r="B96" t="s">
        <v>48</v>
      </c>
      <c r="C96" s="5">
        <v>-0.29954522286777896</v>
      </c>
    </row>
    <row r="97" spans="1:3" x14ac:dyDescent="0.25">
      <c r="A97" t="s">
        <v>116</v>
      </c>
      <c r="B97" t="s">
        <v>68</v>
      </c>
      <c r="C97" s="5">
        <v>0.27693464681343372</v>
      </c>
    </row>
    <row r="98" spans="1:3" x14ac:dyDescent="0.25">
      <c r="A98" t="s">
        <v>116</v>
      </c>
      <c r="B98" t="s">
        <v>95</v>
      </c>
      <c r="C98" s="5">
        <v>0.47227045702295811</v>
      </c>
    </row>
    <row r="99" spans="1:3" x14ac:dyDescent="0.25">
      <c r="A99" t="s">
        <v>118</v>
      </c>
      <c r="B99" t="s">
        <v>87</v>
      </c>
      <c r="C99" s="5">
        <v>1.0157874992013034</v>
      </c>
    </row>
    <row r="100" spans="1:3" x14ac:dyDescent="0.25">
      <c r="A100" t="s">
        <v>118</v>
      </c>
      <c r="B100" t="s">
        <v>15</v>
      </c>
      <c r="C100" s="5">
        <v>1.133898491922817</v>
      </c>
    </row>
    <row r="101" spans="1:3" x14ac:dyDescent="0.25">
      <c r="A101" t="s">
        <v>118</v>
      </c>
      <c r="B101" t="s">
        <v>21</v>
      </c>
      <c r="C101" s="5">
        <v>0.58262549033203193</v>
      </c>
    </row>
  </sheetData>
  <conditionalFormatting sqref="C2:C101">
    <cfRule type="cellIs" dxfId="1" priority="1" operator="lessThan">
      <formula>-0.35</formula>
    </cfRule>
    <cfRule type="cellIs" dxfId="0" priority="2" operator="greaterThan">
      <formula>0.35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9B30B-594A-4D7E-A31C-50BA8F68635C}">
  <dimension ref="A1:F1201"/>
  <sheetViews>
    <sheetView workbookViewId="0">
      <selection activeCell="C2" sqref="C2"/>
    </sheetView>
  </sheetViews>
  <sheetFormatPr defaultRowHeight="15" x14ac:dyDescent="0.25"/>
  <cols>
    <col min="1" max="1" width="12.42578125" bestFit="1" customWidth="1"/>
    <col min="2" max="2" width="7.42578125" bestFit="1" customWidth="1"/>
    <col min="3" max="3" width="5.85546875" bestFit="1" customWidth="1"/>
    <col min="4" max="4" width="26.85546875" bestFit="1" customWidth="1"/>
    <col min="5" max="5" width="17.28515625" bestFit="1" customWidth="1"/>
    <col min="6" max="6" width="29.42578125" bestFit="1" customWidth="1"/>
  </cols>
  <sheetData>
    <row r="1" spans="1:6" x14ac:dyDescent="0.25">
      <c r="A1" t="s">
        <v>109</v>
      </c>
      <c r="B1" t="s">
        <v>0</v>
      </c>
      <c r="C1" t="s">
        <v>1</v>
      </c>
      <c r="D1" t="s">
        <v>2</v>
      </c>
      <c r="E1" t="s">
        <v>110</v>
      </c>
      <c r="F1" t="s">
        <v>111</v>
      </c>
    </row>
    <row r="2" spans="1:6" x14ac:dyDescent="0.25">
      <c r="A2" t="s">
        <v>3</v>
      </c>
      <c r="B2" t="s">
        <v>3</v>
      </c>
      <c r="C2">
        <v>0.33</v>
      </c>
      <c r="D2" t="s">
        <v>4</v>
      </c>
      <c r="E2" t="str">
        <f>VLOOKUP(D2,mappings!A:B,2,FALSE)</f>
        <v>Creative</v>
      </c>
      <c r="F2" t="s">
        <v>112</v>
      </c>
    </row>
    <row r="3" spans="1:6" x14ac:dyDescent="0.25">
      <c r="A3" t="s">
        <v>3</v>
      </c>
      <c r="B3" t="s">
        <v>3</v>
      </c>
      <c r="C3">
        <v>0.28999999999999998</v>
      </c>
      <c r="D3" t="s">
        <v>5</v>
      </c>
      <c r="E3" t="str">
        <f>VLOOKUP(D3,mappings!A:B,2,FALSE)</f>
        <v>Hospitality</v>
      </c>
      <c r="F3" t="s">
        <v>112</v>
      </c>
    </row>
    <row r="4" spans="1:6" x14ac:dyDescent="0.25">
      <c r="A4" t="s">
        <v>3</v>
      </c>
      <c r="B4" t="s">
        <v>3</v>
      </c>
      <c r="C4">
        <v>0.27</v>
      </c>
      <c r="D4" t="s">
        <v>6</v>
      </c>
      <c r="E4" t="str">
        <f>VLOOKUP(D4,mappings!A:B,2,FALSE)</f>
        <v>Hospitality</v>
      </c>
      <c r="F4" t="s">
        <v>112</v>
      </c>
    </row>
    <row r="5" spans="1:6" x14ac:dyDescent="0.25">
      <c r="A5" t="s">
        <v>3</v>
      </c>
      <c r="B5" t="s">
        <v>3</v>
      </c>
      <c r="C5">
        <v>0.26</v>
      </c>
      <c r="D5" t="s">
        <v>7</v>
      </c>
      <c r="E5" t="str">
        <f>VLOOKUP(D5,mappings!A:B,2,FALSE)</f>
        <v>Legal</v>
      </c>
      <c r="F5" t="s">
        <v>112</v>
      </c>
    </row>
    <row r="6" spans="1:6" x14ac:dyDescent="0.25">
      <c r="A6" t="s">
        <v>3</v>
      </c>
      <c r="B6" t="s">
        <v>3</v>
      </c>
      <c r="C6">
        <v>0.26</v>
      </c>
      <c r="D6" t="s">
        <v>8</v>
      </c>
      <c r="E6" t="str">
        <f>VLOOKUP(D6,mappings!A:B,2,FALSE)</f>
        <v>Healthcare</v>
      </c>
      <c r="F6" t="s">
        <v>112</v>
      </c>
    </row>
    <row r="7" spans="1:6" x14ac:dyDescent="0.25">
      <c r="A7" t="s">
        <v>3</v>
      </c>
      <c r="B7" t="s">
        <v>3</v>
      </c>
      <c r="C7">
        <v>0.25</v>
      </c>
      <c r="D7" t="s">
        <v>9</v>
      </c>
      <c r="E7" t="str">
        <f>VLOOKUP(D7,mappings!A:B,2,FALSE)</f>
        <v>Education</v>
      </c>
      <c r="F7" t="s">
        <v>112</v>
      </c>
    </row>
    <row r="8" spans="1:6" x14ac:dyDescent="0.25">
      <c r="A8" t="s">
        <v>3</v>
      </c>
      <c r="B8" t="s">
        <v>3</v>
      </c>
      <c r="C8">
        <v>0.25</v>
      </c>
      <c r="D8" t="s">
        <v>10</v>
      </c>
      <c r="E8" t="str">
        <f>VLOOKUP(D8,mappings!A:B,2,FALSE)</f>
        <v>Healthcare</v>
      </c>
      <c r="F8" t="s">
        <v>112</v>
      </c>
    </row>
    <row r="9" spans="1:6" x14ac:dyDescent="0.25">
      <c r="A9" t="s">
        <v>3</v>
      </c>
      <c r="B9" t="s">
        <v>3</v>
      </c>
      <c r="C9">
        <v>0.24</v>
      </c>
      <c r="D9" t="s">
        <v>11</v>
      </c>
      <c r="E9" t="str">
        <f>VLOOKUP(D9,mappings!A:B,2,FALSE)</f>
        <v>Human Resources</v>
      </c>
      <c r="F9" t="s">
        <v>112</v>
      </c>
    </row>
    <row r="10" spans="1:6" x14ac:dyDescent="0.25">
      <c r="A10" t="s">
        <v>3</v>
      </c>
      <c r="B10" t="s">
        <v>3</v>
      </c>
      <c r="C10">
        <v>0.24</v>
      </c>
      <c r="D10" t="s">
        <v>12</v>
      </c>
      <c r="E10" t="str">
        <f>VLOOKUP(D10,mappings!A:B,2,FALSE)</f>
        <v>STEM</v>
      </c>
      <c r="F10" t="s">
        <v>112</v>
      </c>
    </row>
    <row r="11" spans="1:6" x14ac:dyDescent="0.25">
      <c r="A11" t="s">
        <v>3</v>
      </c>
      <c r="B11" t="s">
        <v>3</v>
      </c>
      <c r="C11">
        <v>0.24</v>
      </c>
      <c r="D11" t="s">
        <v>13</v>
      </c>
      <c r="E11" t="str">
        <f>VLOOKUP(D11,mappings!A:B,2,FALSE)</f>
        <v>Administration</v>
      </c>
      <c r="F11" t="s">
        <v>112</v>
      </c>
    </row>
    <row r="12" spans="1:6" x14ac:dyDescent="0.25">
      <c r="A12" t="s">
        <v>3</v>
      </c>
      <c r="B12" t="s">
        <v>3</v>
      </c>
      <c r="C12">
        <v>0.23</v>
      </c>
      <c r="D12" t="s">
        <v>14</v>
      </c>
      <c r="E12" t="str">
        <f>VLOOKUP(D12,mappings!A:B,2,FALSE)</f>
        <v>Creative</v>
      </c>
      <c r="F12" t="s">
        <v>112</v>
      </c>
    </row>
    <row r="13" spans="1:6" x14ac:dyDescent="0.25">
      <c r="A13" t="s">
        <v>3</v>
      </c>
      <c r="B13" t="s">
        <v>3</v>
      </c>
      <c r="C13">
        <v>0.23</v>
      </c>
      <c r="D13" t="s">
        <v>15</v>
      </c>
      <c r="E13" t="str">
        <f>VLOOKUP(D13,mappings!A:B,2,FALSE)</f>
        <v>Trades</v>
      </c>
      <c r="F13" t="s">
        <v>112</v>
      </c>
    </row>
    <row r="14" spans="1:6" x14ac:dyDescent="0.25">
      <c r="A14" t="s">
        <v>3</v>
      </c>
      <c r="B14" t="s">
        <v>3</v>
      </c>
      <c r="C14">
        <v>0.23</v>
      </c>
      <c r="D14" t="s">
        <v>16</v>
      </c>
      <c r="E14" t="str">
        <f>VLOOKUP(D14,mappings!A:B,2,FALSE)</f>
        <v>Finance</v>
      </c>
      <c r="F14" t="s">
        <v>112</v>
      </c>
    </row>
    <row r="15" spans="1:6" x14ac:dyDescent="0.25">
      <c r="A15" t="s">
        <v>3</v>
      </c>
      <c r="B15" t="s">
        <v>3</v>
      </c>
      <c r="C15">
        <v>0.23</v>
      </c>
      <c r="D15" t="s">
        <v>17</v>
      </c>
      <c r="E15" t="str">
        <f>VLOOKUP(D15,mappings!A:B,2,FALSE)</f>
        <v>Sales</v>
      </c>
      <c r="F15" t="s">
        <v>112</v>
      </c>
    </row>
    <row r="16" spans="1:6" x14ac:dyDescent="0.25">
      <c r="A16" t="s">
        <v>3</v>
      </c>
      <c r="B16" t="s">
        <v>3</v>
      </c>
      <c r="C16">
        <v>0.23</v>
      </c>
      <c r="D16" t="s">
        <v>18</v>
      </c>
      <c r="E16" t="str">
        <f>VLOOKUP(D16,mappings!A:B,2,FALSE)</f>
        <v>Finance</v>
      </c>
      <c r="F16" t="s">
        <v>112</v>
      </c>
    </row>
    <row r="17" spans="1:6" x14ac:dyDescent="0.25">
      <c r="A17" t="s">
        <v>3</v>
      </c>
      <c r="B17" t="s">
        <v>3</v>
      </c>
      <c r="C17">
        <v>0.22</v>
      </c>
      <c r="D17" t="s">
        <v>19</v>
      </c>
      <c r="E17" t="str">
        <f>VLOOKUP(D17,mappings!A:B,2,FALSE)</f>
        <v>Finance</v>
      </c>
      <c r="F17" t="s">
        <v>112</v>
      </c>
    </row>
    <row r="18" spans="1:6" x14ac:dyDescent="0.25">
      <c r="A18" t="s">
        <v>3</v>
      </c>
      <c r="B18" t="s">
        <v>3</v>
      </c>
      <c r="C18">
        <v>0.22</v>
      </c>
      <c r="D18" t="s">
        <v>20</v>
      </c>
      <c r="E18" t="str">
        <f>VLOOKUP(D18,mappings!A:B,2,FALSE)</f>
        <v>Hospitality</v>
      </c>
      <c r="F18" t="s">
        <v>112</v>
      </c>
    </row>
    <row r="19" spans="1:6" x14ac:dyDescent="0.25">
      <c r="A19" t="s">
        <v>3</v>
      </c>
      <c r="B19" t="s">
        <v>3</v>
      </c>
      <c r="C19">
        <v>0.22</v>
      </c>
      <c r="D19" t="s">
        <v>21</v>
      </c>
      <c r="E19" t="str">
        <f>VLOOKUP(D19,mappings!A:B,2,FALSE)</f>
        <v>Trades</v>
      </c>
      <c r="F19" t="s">
        <v>112</v>
      </c>
    </row>
    <row r="20" spans="1:6" x14ac:dyDescent="0.25">
      <c r="A20" t="s">
        <v>3</v>
      </c>
      <c r="B20" t="s">
        <v>3</v>
      </c>
      <c r="C20">
        <v>0.22</v>
      </c>
      <c r="D20" t="s">
        <v>22</v>
      </c>
      <c r="E20" t="str">
        <f>VLOOKUP(D20,mappings!A:B,2,FALSE)</f>
        <v>Management</v>
      </c>
      <c r="F20" t="s">
        <v>112</v>
      </c>
    </row>
    <row r="21" spans="1:6" x14ac:dyDescent="0.25">
      <c r="A21" t="s">
        <v>3</v>
      </c>
      <c r="B21" t="s">
        <v>3</v>
      </c>
      <c r="C21">
        <v>0.22</v>
      </c>
      <c r="D21" t="s">
        <v>23</v>
      </c>
      <c r="E21" t="str">
        <f>VLOOKUP(D21,mappings!A:B,2,FALSE)</f>
        <v>Creative</v>
      </c>
      <c r="F21" t="s">
        <v>112</v>
      </c>
    </row>
    <row r="22" spans="1:6" x14ac:dyDescent="0.25">
      <c r="A22" t="s">
        <v>3</v>
      </c>
      <c r="B22" t="s">
        <v>3</v>
      </c>
      <c r="C22">
        <v>0.22</v>
      </c>
      <c r="D22" t="s">
        <v>24</v>
      </c>
      <c r="E22" t="str">
        <f>VLOOKUP(D22,mappings!A:B,2,FALSE)</f>
        <v>Education</v>
      </c>
      <c r="F22" t="s">
        <v>112</v>
      </c>
    </row>
    <row r="23" spans="1:6" x14ac:dyDescent="0.25">
      <c r="A23" t="s">
        <v>3</v>
      </c>
      <c r="B23" t="s">
        <v>3</v>
      </c>
      <c r="C23">
        <v>0.21</v>
      </c>
      <c r="D23" t="s">
        <v>25</v>
      </c>
      <c r="E23" t="str">
        <f>VLOOKUP(D23,mappings!A:B,2,FALSE)</f>
        <v>Creative</v>
      </c>
      <c r="F23" t="s">
        <v>112</v>
      </c>
    </row>
    <row r="24" spans="1:6" x14ac:dyDescent="0.25">
      <c r="A24" t="s">
        <v>3</v>
      </c>
      <c r="B24" t="s">
        <v>3</v>
      </c>
      <c r="C24">
        <v>0.21</v>
      </c>
      <c r="D24" t="s">
        <v>26</v>
      </c>
      <c r="E24" t="str">
        <f>VLOOKUP(D24,mappings!A:B,2,FALSE)</f>
        <v>Healthcare</v>
      </c>
      <c r="F24" t="s">
        <v>112</v>
      </c>
    </row>
    <row r="25" spans="1:6" x14ac:dyDescent="0.25">
      <c r="A25" t="s">
        <v>3</v>
      </c>
      <c r="B25" t="s">
        <v>3</v>
      </c>
      <c r="C25">
        <v>0.21</v>
      </c>
      <c r="D25" t="s">
        <v>27</v>
      </c>
      <c r="E25" t="str">
        <f>VLOOKUP(D25,mappings!A:B,2,FALSE)</f>
        <v>Management</v>
      </c>
      <c r="F25" t="s">
        <v>112</v>
      </c>
    </row>
    <row r="26" spans="1:6" x14ac:dyDescent="0.25">
      <c r="A26" t="s">
        <v>3</v>
      </c>
      <c r="B26" t="s">
        <v>3</v>
      </c>
      <c r="C26">
        <v>0.21</v>
      </c>
      <c r="D26" t="s">
        <v>28</v>
      </c>
      <c r="E26" t="str">
        <f>VLOOKUP(D26,mappings!A:B,2,FALSE)</f>
        <v>STEM</v>
      </c>
      <c r="F26" t="s">
        <v>112</v>
      </c>
    </row>
    <row r="27" spans="1:6" x14ac:dyDescent="0.25">
      <c r="A27" t="s">
        <v>3</v>
      </c>
      <c r="B27" t="s">
        <v>3</v>
      </c>
      <c r="C27">
        <v>0.21</v>
      </c>
      <c r="D27" t="s">
        <v>29</v>
      </c>
      <c r="E27" t="str">
        <f>VLOOKUP(D27,mappings!A:B,2,FALSE)</f>
        <v>Creative</v>
      </c>
      <c r="F27" t="s">
        <v>112</v>
      </c>
    </row>
    <row r="28" spans="1:6" x14ac:dyDescent="0.25">
      <c r="A28" t="s">
        <v>3</v>
      </c>
      <c r="B28" t="s">
        <v>3</v>
      </c>
      <c r="C28">
        <v>0.21</v>
      </c>
      <c r="D28" t="s">
        <v>30</v>
      </c>
      <c r="E28" t="str">
        <f>VLOOKUP(D28,mappings!A:B,2,FALSE)</f>
        <v>STEM</v>
      </c>
      <c r="F28" t="s">
        <v>112</v>
      </c>
    </row>
    <row r="29" spans="1:6" x14ac:dyDescent="0.25">
      <c r="A29" t="s">
        <v>3</v>
      </c>
      <c r="B29" t="s">
        <v>3</v>
      </c>
      <c r="C29">
        <v>0.21</v>
      </c>
      <c r="D29" t="s">
        <v>31</v>
      </c>
      <c r="E29" t="str">
        <f>VLOOKUP(D29,mappings!A:B,2,FALSE)</f>
        <v>STEM</v>
      </c>
      <c r="F29" t="s">
        <v>112</v>
      </c>
    </row>
    <row r="30" spans="1:6" x14ac:dyDescent="0.25">
      <c r="A30" t="s">
        <v>3</v>
      </c>
      <c r="B30" t="s">
        <v>3</v>
      </c>
      <c r="C30">
        <v>0.21</v>
      </c>
      <c r="D30" t="s">
        <v>32</v>
      </c>
      <c r="E30" t="str">
        <f>VLOOKUP(D30,mappings!A:B,2,FALSE)</f>
        <v>Human Resources</v>
      </c>
      <c r="F30" t="s">
        <v>112</v>
      </c>
    </row>
    <row r="31" spans="1:6" x14ac:dyDescent="0.25">
      <c r="A31" t="s">
        <v>3</v>
      </c>
      <c r="B31" t="s">
        <v>3</v>
      </c>
      <c r="C31">
        <v>0.2</v>
      </c>
      <c r="D31" t="s">
        <v>33</v>
      </c>
      <c r="E31" t="str">
        <f>VLOOKUP(D31,mappings!A:B,2,FALSE)</f>
        <v>Education</v>
      </c>
      <c r="F31" t="s">
        <v>112</v>
      </c>
    </row>
    <row r="32" spans="1:6" x14ac:dyDescent="0.25">
      <c r="A32" t="s">
        <v>3</v>
      </c>
      <c r="B32" t="s">
        <v>3</v>
      </c>
      <c r="C32">
        <v>0.2</v>
      </c>
      <c r="D32" t="s">
        <v>34</v>
      </c>
      <c r="E32" t="str">
        <f>VLOOKUP(D32,mappings!A:B,2,FALSE)</f>
        <v>STEM</v>
      </c>
      <c r="F32" t="s">
        <v>112</v>
      </c>
    </row>
    <row r="33" spans="1:6" x14ac:dyDescent="0.25">
      <c r="A33" t="s">
        <v>3</v>
      </c>
      <c r="B33" t="s">
        <v>3</v>
      </c>
      <c r="C33">
        <v>0.2</v>
      </c>
      <c r="D33" t="s">
        <v>35</v>
      </c>
      <c r="E33" t="str">
        <f>VLOOKUP(D33,mappings!A:B,2,FALSE)</f>
        <v>Education</v>
      </c>
      <c r="F33" t="s">
        <v>112</v>
      </c>
    </row>
    <row r="34" spans="1:6" x14ac:dyDescent="0.25">
      <c r="A34" t="s">
        <v>3</v>
      </c>
      <c r="B34" t="s">
        <v>3</v>
      </c>
      <c r="C34">
        <v>0.2</v>
      </c>
      <c r="D34" t="s">
        <v>36</v>
      </c>
      <c r="E34" t="str">
        <f>VLOOKUP(D34,mappings!A:B,2,FALSE)</f>
        <v>Healthcare</v>
      </c>
      <c r="F34" t="s">
        <v>112</v>
      </c>
    </row>
    <row r="35" spans="1:6" x14ac:dyDescent="0.25">
      <c r="A35" t="s">
        <v>3</v>
      </c>
      <c r="B35" t="s">
        <v>3</v>
      </c>
      <c r="C35">
        <v>0.2</v>
      </c>
      <c r="D35" t="s">
        <v>37</v>
      </c>
      <c r="E35" t="str">
        <f>VLOOKUP(D35,mappings!A:B,2,FALSE)</f>
        <v>Marketing</v>
      </c>
      <c r="F35" t="s">
        <v>112</v>
      </c>
    </row>
    <row r="36" spans="1:6" x14ac:dyDescent="0.25">
      <c r="A36" t="s">
        <v>3</v>
      </c>
      <c r="B36" t="s">
        <v>3</v>
      </c>
      <c r="C36">
        <v>0.2</v>
      </c>
      <c r="D36" t="s">
        <v>38</v>
      </c>
      <c r="E36" t="str">
        <f>VLOOKUP(D36,mappings!A:B,2,FALSE)</f>
        <v>Healthcare</v>
      </c>
      <c r="F36" t="s">
        <v>112</v>
      </c>
    </row>
    <row r="37" spans="1:6" x14ac:dyDescent="0.25">
      <c r="A37" t="s">
        <v>3</v>
      </c>
      <c r="B37" t="s">
        <v>3</v>
      </c>
      <c r="C37">
        <v>0.2</v>
      </c>
      <c r="D37" t="s">
        <v>39</v>
      </c>
      <c r="E37" t="str">
        <f>VLOOKUP(D37,mappings!A:B,2,FALSE)</f>
        <v>Administration</v>
      </c>
      <c r="F37" t="s">
        <v>112</v>
      </c>
    </row>
    <row r="38" spans="1:6" x14ac:dyDescent="0.25">
      <c r="A38" t="s">
        <v>3</v>
      </c>
      <c r="B38" t="s">
        <v>3</v>
      </c>
      <c r="C38">
        <v>0.2</v>
      </c>
      <c r="D38" t="s">
        <v>40</v>
      </c>
      <c r="E38" t="str">
        <f>VLOOKUP(D38,mappings!A:B,2,FALSE)</f>
        <v>STEM</v>
      </c>
      <c r="F38" t="s">
        <v>112</v>
      </c>
    </row>
    <row r="39" spans="1:6" x14ac:dyDescent="0.25">
      <c r="A39" t="s">
        <v>3</v>
      </c>
      <c r="B39" t="s">
        <v>3</v>
      </c>
      <c r="C39">
        <v>0.2</v>
      </c>
      <c r="D39" t="s">
        <v>41</v>
      </c>
      <c r="E39" t="str">
        <f>VLOOKUP(D39,mappings!A:B,2,FALSE)</f>
        <v>Healthcare</v>
      </c>
      <c r="F39" t="s">
        <v>112</v>
      </c>
    </row>
    <row r="40" spans="1:6" x14ac:dyDescent="0.25">
      <c r="A40" t="s">
        <v>3</v>
      </c>
      <c r="B40" t="s">
        <v>3</v>
      </c>
      <c r="C40">
        <v>0.2</v>
      </c>
      <c r="D40" t="s">
        <v>42</v>
      </c>
      <c r="E40" t="str">
        <f>VLOOKUP(D40,mappings!A:B,2,FALSE)</f>
        <v>Healthcare</v>
      </c>
      <c r="F40" t="s">
        <v>112</v>
      </c>
    </row>
    <row r="41" spans="1:6" x14ac:dyDescent="0.25">
      <c r="A41" t="s">
        <v>3</v>
      </c>
      <c r="B41" t="s">
        <v>3</v>
      </c>
      <c r="C41">
        <v>0.19</v>
      </c>
      <c r="D41" t="s">
        <v>43</v>
      </c>
      <c r="E41" t="str">
        <f>VLOOKUP(D41,mappings!A:B,2,FALSE)</f>
        <v>Management</v>
      </c>
      <c r="F41" t="s">
        <v>112</v>
      </c>
    </row>
    <row r="42" spans="1:6" x14ac:dyDescent="0.25">
      <c r="A42" t="s">
        <v>3</v>
      </c>
      <c r="B42" t="s">
        <v>3</v>
      </c>
      <c r="C42">
        <v>0.19</v>
      </c>
      <c r="D42" t="s">
        <v>44</v>
      </c>
      <c r="E42" t="str">
        <f>VLOOKUP(D42,mappings!A:B,2,FALSE)</f>
        <v>Healthcare</v>
      </c>
      <c r="F42" t="s">
        <v>112</v>
      </c>
    </row>
    <row r="43" spans="1:6" x14ac:dyDescent="0.25">
      <c r="A43" t="s">
        <v>3</v>
      </c>
      <c r="B43" t="s">
        <v>3</v>
      </c>
      <c r="C43">
        <v>0.19</v>
      </c>
      <c r="D43" t="s">
        <v>45</v>
      </c>
      <c r="E43" t="str">
        <f>VLOOKUP(D43,mappings!A:B,2,FALSE)</f>
        <v>Administration</v>
      </c>
      <c r="F43" t="s">
        <v>112</v>
      </c>
    </row>
    <row r="44" spans="1:6" x14ac:dyDescent="0.25">
      <c r="A44" t="s">
        <v>3</v>
      </c>
      <c r="B44" t="s">
        <v>3</v>
      </c>
      <c r="C44">
        <v>0.19</v>
      </c>
      <c r="D44" t="s">
        <v>46</v>
      </c>
      <c r="E44" t="str">
        <f>VLOOKUP(D44,mappings!A:B,2,FALSE)</f>
        <v>STEM</v>
      </c>
      <c r="F44" t="s">
        <v>112</v>
      </c>
    </row>
    <row r="45" spans="1:6" x14ac:dyDescent="0.25">
      <c r="A45" t="s">
        <v>3</v>
      </c>
      <c r="B45" t="s">
        <v>3</v>
      </c>
      <c r="C45">
        <v>0.19</v>
      </c>
      <c r="D45" t="s">
        <v>47</v>
      </c>
      <c r="E45" t="str">
        <f>VLOOKUP(D45,mappings!A:B,2,FALSE)</f>
        <v>Legal</v>
      </c>
      <c r="F45" t="s">
        <v>112</v>
      </c>
    </row>
    <row r="46" spans="1:6" x14ac:dyDescent="0.25">
      <c r="A46" t="s">
        <v>3</v>
      </c>
      <c r="B46" t="s">
        <v>3</v>
      </c>
      <c r="C46">
        <v>0.18</v>
      </c>
      <c r="D46" t="s">
        <v>48</v>
      </c>
      <c r="E46" t="str">
        <f>VLOOKUP(D46,mappings!A:B,2,FALSE)</f>
        <v>STEM</v>
      </c>
      <c r="F46" t="s">
        <v>112</v>
      </c>
    </row>
    <row r="47" spans="1:6" x14ac:dyDescent="0.25">
      <c r="A47" t="s">
        <v>3</v>
      </c>
      <c r="B47" t="s">
        <v>3</v>
      </c>
      <c r="C47">
        <v>0.18</v>
      </c>
      <c r="D47" t="s">
        <v>49</v>
      </c>
      <c r="E47" t="str">
        <f>VLOOKUP(D47,mappings!A:B,2,FALSE)</f>
        <v>Healthcare</v>
      </c>
      <c r="F47" t="s">
        <v>112</v>
      </c>
    </row>
    <row r="48" spans="1:6" x14ac:dyDescent="0.25">
      <c r="A48" t="s">
        <v>3</v>
      </c>
      <c r="B48" t="s">
        <v>3</v>
      </c>
      <c r="C48">
        <v>0.18</v>
      </c>
      <c r="D48" t="s">
        <v>50</v>
      </c>
      <c r="E48" t="str">
        <f>VLOOKUP(D48,mappings!A:B,2,FALSE)</f>
        <v>Education</v>
      </c>
      <c r="F48" t="s">
        <v>112</v>
      </c>
    </row>
    <row r="49" spans="1:6" x14ac:dyDescent="0.25">
      <c r="A49" t="s">
        <v>3</v>
      </c>
      <c r="B49" t="s">
        <v>3</v>
      </c>
      <c r="C49">
        <v>0.18</v>
      </c>
      <c r="D49" t="s">
        <v>51</v>
      </c>
      <c r="E49" t="str">
        <f>VLOOKUP(D49,mappings!A:B,2,FALSE)</f>
        <v>Healthcare</v>
      </c>
      <c r="F49" t="s">
        <v>112</v>
      </c>
    </row>
    <row r="50" spans="1:6" x14ac:dyDescent="0.25">
      <c r="A50" t="s">
        <v>3</v>
      </c>
      <c r="B50" t="s">
        <v>3</v>
      </c>
      <c r="C50">
        <v>0.18</v>
      </c>
      <c r="D50" t="s">
        <v>52</v>
      </c>
      <c r="E50" t="str">
        <f>VLOOKUP(D50,mappings!A:B,2,FALSE)</f>
        <v>Operations</v>
      </c>
      <c r="F50" t="s">
        <v>112</v>
      </c>
    </row>
    <row r="51" spans="1:6" x14ac:dyDescent="0.25">
      <c r="A51" t="s">
        <v>3</v>
      </c>
      <c r="B51" t="s">
        <v>3</v>
      </c>
      <c r="C51">
        <v>0.18</v>
      </c>
      <c r="D51" t="s">
        <v>53</v>
      </c>
      <c r="E51" t="str">
        <f>VLOOKUP(D51,mappings!A:B,2,FALSE)</f>
        <v>Healthcare</v>
      </c>
      <c r="F51" t="s">
        <v>112</v>
      </c>
    </row>
    <row r="52" spans="1:6" x14ac:dyDescent="0.25">
      <c r="A52" t="s">
        <v>3</v>
      </c>
      <c r="B52" t="s">
        <v>3</v>
      </c>
      <c r="C52">
        <v>0.17</v>
      </c>
      <c r="D52" t="s">
        <v>54</v>
      </c>
      <c r="E52" t="str">
        <f>VLOOKUP(D52,mappings!A:B,2,FALSE)</f>
        <v>Marketing</v>
      </c>
      <c r="F52" t="s">
        <v>112</v>
      </c>
    </row>
    <row r="53" spans="1:6" x14ac:dyDescent="0.25">
      <c r="A53" t="s">
        <v>3</v>
      </c>
      <c r="B53" t="s">
        <v>3</v>
      </c>
      <c r="C53">
        <v>0.17</v>
      </c>
      <c r="D53" t="s">
        <v>55</v>
      </c>
      <c r="E53" t="str">
        <f>VLOOKUP(D53,mappings!A:B,2,FALSE)</f>
        <v>Human Resources</v>
      </c>
      <c r="F53" t="s">
        <v>112</v>
      </c>
    </row>
    <row r="54" spans="1:6" x14ac:dyDescent="0.25">
      <c r="A54" t="s">
        <v>3</v>
      </c>
      <c r="B54" t="s">
        <v>3</v>
      </c>
      <c r="C54">
        <v>0.17</v>
      </c>
      <c r="D54" t="s">
        <v>56</v>
      </c>
      <c r="E54" t="str">
        <f>VLOOKUP(D54,mappings!A:B,2,FALSE)</f>
        <v>STEM</v>
      </c>
      <c r="F54" t="s">
        <v>112</v>
      </c>
    </row>
    <row r="55" spans="1:6" x14ac:dyDescent="0.25">
      <c r="A55" t="s">
        <v>3</v>
      </c>
      <c r="B55" t="s">
        <v>3</v>
      </c>
      <c r="C55">
        <v>0.17</v>
      </c>
      <c r="D55" t="s">
        <v>57</v>
      </c>
      <c r="E55" t="str">
        <f>VLOOKUP(D55,mappings!A:B,2,FALSE)</f>
        <v>Finance</v>
      </c>
      <c r="F55" t="s">
        <v>112</v>
      </c>
    </row>
    <row r="56" spans="1:6" x14ac:dyDescent="0.25">
      <c r="A56" t="s">
        <v>3</v>
      </c>
      <c r="B56" t="s">
        <v>3</v>
      </c>
      <c r="C56">
        <v>0.17</v>
      </c>
      <c r="D56" t="s">
        <v>58</v>
      </c>
      <c r="E56" t="str">
        <f>VLOOKUP(D56,mappings!A:B,2,FALSE)</f>
        <v>Education</v>
      </c>
      <c r="F56" t="s">
        <v>112</v>
      </c>
    </row>
    <row r="57" spans="1:6" x14ac:dyDescent="0.25">
      <c r="A57" t="s">
        <v>3</v>
      </c>
      <c r="B57" t="s">
        <v>3</v>
      </c>
      <c r="C57">
        <v>0.17</v>
      </c>
      <c r="D57" t="s">
        <v>59</v>
      </c>
      <c r="E57" t="str">
        <f>VLOOKUP(D57,mappings!A:B,2,FALSE)</f>
        <v>Real Estate</v>
      </c>
      <c r="F57" t="s">
        <v>112</v>
      </c>
    </row>
    <row r="58" spans="1:6" x14ac:dyDescent="0.25">
      <c r="A58" t="s">
        <v>3</v>
      </c>
      <c r="B58" t="s">
        <v>3</v>
      </c>
      <c r="C58">
        <v>0.17</v>
      </c>
      <c r="D58" t="s">
        <v>60</v>
      </c>
      <c r="E58" t="str">
        <f>VLOOKUP(D58,mappings!A:B,2,FALSE)</f>
        <v>Finance</v>
      </c>
      <c r="F58" t="s">
        <v>112</v>
      </c>
    </row>
    <row r="59" spans="1:6" x14ac:dyDescent="0.25">
      <c r="A59" t="s">
        <v>3</v>
      </c>
      <c r="B59" t="s">
        <v>3</v>
      </c>
      <c r="C59">
        <v>0.17</v>
      </c>
      <c r="D59" t="s">
        <v>61</v>
      </c>
      <c r="E59" t="str">
        <f>VLOOKUP(D59,mappings!A:B,2,FALSE)</f>
        <v>STEM</v>
      </c>
      <c r="F59" t="s">
        <v>112</v>
      </c>
    </row>
    <row r="60" spans="1:6" x14ac:dyDescent="0.25">
      <c r="A60" t="s">
        <v>3</v>
      </c>
      <c r="B60" t="s">
        <v>3</v>
      </c>
      <c r="C60">
        <v>0.17</v>
      </c>
      <c r="D60" t="s">
        <v>62</v>
      </c>
      <c r="E60" t="str">
        <f>VLOOKUP(D60,mappings!A:B,2,FALSE)</f>
        <v>Marketing</v>
      </c>
      <c r="F60" t="s">
        <v>112</v>
      </c>
    </row>
    <row r="61" spans="1:6" x14ac:dyDescent="0.25">
      <c r="A61" t="s">
        <v>3</v>
      </c>
      <c r="B61" t="s">
        <v>3</v>
      </c>
      <c r="C61">
        <v>0.17</v>
      </c>
      <c r="D61" t="s">
        <v>63</v>
      </c>
      <c r="E61" t="str">
        <f>VLOOKUP(D61,mappings!A:B,2,FALSE)</f>
        <v>Finance</v>
      </c>
      <c r="F61" t="s">
        <v>112</v>
      </c>
    </row>
    <row r="62" spans="1:6" x14ac:dyDescent="0.25">
      <c r="A62" t="s">
        <v>3</v>
      </c>
      <c r="B62" t="s">
        <v>3</v>
      </c>
      <c r="C62">
        <v>0.17</v>
      </c>
      <c r="D62" t="s">
        <v>64</v>
      </c>
      <c r="E62" t="str">
        <f>VLOOKUP(D62,mappings!A:B,2,FALSE)</f>
        <v>STEM</v>
      </c>
      <c r="F62" t="s">
        <v>112</v>
      </c>
    </row>
    <row r="63" spans="1:6" x14ac:dyDescent="0.25">
      <c r="A63" t="s">
        <v>3</v>
      </c>
      <c r="B63" t="s">
        <v>3</v>
      </c>
      <c r="C63">
        <v>0.17</v>
      </c>
      <c r="D63" t="s">
        <v>65</v>
      </c>
      <c r="E63" t="str">
        <f>VLOOKUP(D63,mappings!A:B,2,FALSE)</f>
        <v>Management</v>
      </c>
      <c r="F63" t="s">
        <v>112</v>
      </c>
    </row>
    <row r="64" spans="1:6" x14ac:dyDescent="0.25">
      <c r="A64" t="s">
        <v>3</v>
      </c>
      <c r="B64" t="s">
        <v>3</v>
      </c>
      <c r="C64">
        <v>0.17</v>
      </c>
      <c r="D64" t="s">
        <v>66</v>
      </c>
      <c r="E64" t="str">
        <f>VLOOKUP(D64,mappings!A:B,2,FALSE)</f>
        <v>Healthcare</v>
      </c>
      <c r="F64" t="s">
        <v>112</v>
      </c>
    </row>
    <row r="65" spans="1:6" x14ac:dyDescent="0.25">
      <c r="A65" t="s">
        <v>3</v>
      </c>
      <c r="B65" t="s">
        <v>3</v>
      </c>
      <c r="C65">
        <v>0.17</v>
      </c>
      <c r="D65" t="s">
        <v>67</v>
      </c>
      <c r="E65" t="str">
        <f>VLOOKUP(D65,mappings!A:B,2,FALSE)</f>
        <v>Finance</v>
      </c>
      <c r="F65" t="s">
        <v>112</v>
      </c>
    </row>
    <row r="66" spans="1:6" x14ac:dyDescent="0.25">
      <c r="A66" t="s">
        <v>3</v>
      </c>
      <c r="B66" t="s">
        <v>3</v>
      </c>
      <c r="C66">
        <v>0.17</v>
      </c>
      <c r="D66" t="s">
        <v>68</v>
      </c>
      <c r="E66" t="str">
        <f>VLOOKUP(D66,mappings!A:B,2,FALSE)</f>
        <v>STEM</v>
      </c>
      <c r="F66" t="s">
        <v>112</v>
      </c>
    </row>
    <row r="67" spans="1:6" x14ac:dyDescent="0.25">
      <c r="A67" t="s">
        <v>3</v>
      </c>
      <c r="B67" t="s">
        <v>3</v>
      </c>
      <c r="C67">
        <v>0.17</v>
      </c>
      <c r="D67" t="s">
        <v>69</v>
      </c>
      <c r="E67" t="str">
        <f>VLOOKUP(D67,mappings!A:B,2,FALSE)</f>
        <v>Hospitality</v>
      </c>
      <c r="F67" t="s">
        <v>112</v>
      </c>
    </row>
    <row r="68" spans="1:6" x14ac:dyDescent="0.25">
      <c r="A68" t="s">
        <v>3</v>
      </c>
      <c r="B68" t="s">
        <v>3</v>
      </c>
      <c r="C68">
        <v>0.17</v>
      </c>
      <c r="D68" t="s">
        <v>70</v>
      </c>
      <c r="E68" t="str">
        <f>VLOOKUP(D68,mappings!A:B,2,FALSE)</f>
        <v>Operations</v>
      </c>
      <c r="F68" t="s">
        <v>112</v>
      </c>
    </row>
    <row r="69" spans="1:6" x14ac:dyDescent="0.25">
      <c r="A69" t="s">
        <v>3</v>
      </c>
      <c r="B69" t="s">
        <v>3</v>
      </c>
      <c r="C69">
        <v>0.16</v>
      </c>
      <c r="D69" t="s">
        <v>71</v>
      </c>
      <c r="E69" t="str">
        <f>VLOOKUP(D69,mappings!A:B,2,FALSE)</f>
        <v>STEM</v>
      </c>
      <c r="F69" t="s">
        <v>112</v>
      </c>
    </row>
    <row r="70" spans="1:6" x14ac:dyDescent="0.25">
      <c r="A70" t="s">
        <v>3</v>
      </c>
      <c r="B70" t="s">
        <v>3</v>
      </c>
      <c r="C70">
        <v>0.16</v>
      </c>
      <c r="D70" t="s">
        <v>72</v>
      </c>
      <c r="E70" t="str">
        <f>VLOOKUP(D70,mappings!A:B,2,FALSE)</f>
        <v>STEM</v>
      </c>
      <c r="F70" t="s">
        <v>112</v>
      </c>
    </row>
    <row r="71" spans="1:6" x14ac:dyDescent="0.25">
      <c r="A71" t="s">
        <v>3</v>
      </c>
      <c r="B71" t="s">
        <v>3</v>
      </c>
      <c r="C71">
        <v>0.16</v>
      </c>
      <c r="D71" t="s">
        <v>73</v>
      </c>
      <c r="E71" t="str">
        <f>VLOOKUP(D71,mappings!A:B,2,FALSE)</f>
        <v>Finance</v>
      </c>
      <c r="F71" t="s">
        <v>112</v>
      </c>
    </row>
    <row r="72" spans="1:6" x14ac:dyDescent="0.25">
      <c r="A72" t="s">
        <v>3</v>
      </c>
      <c r="B72" t="s">
        <v>3</v>
      </c>
      <c r="C72">
        <v>0.16</v>
      </c>
      <c r="D72" t="s">
        <v>74</v>
      </c>
      <c r="E72" t="str">
        <f>VLOOKUP(D72,mappings!A:B,2,FALSE)</f>
        <v>Healthcare</v>
      </c>
      <c r="F72" t="s">
        <v>112</v>
      </c>
    </row>
    <row r="73" spans="1:6" x14ac:dyDescent="0.25">
      <c r="A73" t="s">
        <v>3</v>
      </c>
      <c r="B73" t="s">
        <v>3</v>
      </c>
      <c r="C73">
        <v>0.16</v>
      </c>
      <c r="D73" t="s">
        <v>75</v>
      </c>
      <c r="E73" t="str">
        <f>VLOOKUP(D73,mappings!A:B,2,FALSE)</f>
        <v>STEM</v>
      </c>
      <c r="F73" t="s">
        <v>112</v>
      </c>
    </row>
    <row r="74" spans="1:6" x14ac:dyDescent="0.25">
      <c r="A74" t="s">
        <v>3</v>
      </c>
      <c r="B74" t="s">
        <v>3</v>
      </c>
      <c r="C74">
        <v>0.16</v>
      </c>
      <c r="D74" t="s">
        <v>76</v>
      </c>
      <c r="E74" t="str">
        <f>VLOOKUP(D74,mappings!A:B,2,FALSE)</f>
        <v>Real Estate</v>
      </c>
      <c r="F74" t="s">
        <v>112</v>
      </c>
    </row>
    <row r="75" spans="1:6" x14ac:dyDescent="0.25">
      <c r="A75" t="s">
        <v>3</v>
      </c>
      <c r="B75" t="s">
        <v>3</v>
      </c>
      <c r="C75">
        <v>0.16</v>
      </c>
      <c r="D75" t="s">
        <v>77</v>
      </c>
      <c r="E75" t="str">
        <f>VLOOKUP(D75,mappings!A:B,2,FALSE)</f>
        <v>Legal</v>
      </c>
      <c r="F75" t="s">
        <v>112</v>
      </c>
    </row>
    <row r="76" spans="1:6" x14ac:dyDescent="0.25">
      <c r="A76" t="s">
        <v>3</v>
      </c>
      <c r="B76" t="s">
        <v>3</v>
      </c>
      <c r="C76">
        <v>0.16</v>
      </c>
      <c r="D76" t="s">
        <v>78</v>
      </c>
      <c r="E76" t="str">
        <f>VLOOKUP(D76,mappings!A:B,2,FALSE)</f>
        <v>Hospitality</v>
      </c>
      <c r="F76" t="s">
        <v>112</v>
      </c>
    </row>
    <row r="77" spans="1:6" x14ac:dyDescent="0.25">
      <c r="A77" t="s">
        <v>3</v>
      </c>
      <c r="B77" t="s">
        <v>3</v>
      </c>
      <c r="C77">
        <v>0.16</v>
      </c>
      <c r="D77" t="s">
        <v>79</v>
      </c>
      <c r="E77" t="str">
        <f>VLOOKUP(D77,mappings!A:B,2,FALSE)</f>
        <v>Marketing</v>
      </c>
      <c r="F77" t="s">
        <v>112</v>
      </c>
    </row>
    <row r="78" spans="1:6" x14ac:dyDescent="0.25">
      <c r="A78" t="s">
        <v>3</v>
      </c>
      <c r="B78" t="s">
        <v>3</v>
      </c>
      <c r="C78">
        <v>0.15</v>
      </c>
      <c r="D78" t="s">
        <v>80</v>
      </c>
      <c r="E78" t="str">
        <f>VLOOKUP(D78,mappings!A:B,2,FALSE)</f>
        <v>Hospitality</v>
      </c>
      <c r="F78" t="s">
        <v>112</v>
      </c>
    </row>
    <row r="79" spans="1:6" x14ac:dyDescent="0.25">
      <c r="A79" t="s">
        <v>3</v>
      </c>
      <c r="B79" t="s">
        <v>3</v>
      </c>
      <c r="C79">
        <v>0.15</v>
      </c>
      <c r="D79" t="s">
        <v>81</v>
      </c>
      <c r="E79" t="str">
        <f>VLOOKUP(D79,mappings!A:B,2,FALSE)</f>
        <v>Legal</v>
      </c>
      <c r="F79" t="s">
        <v>112</v>
      </c>
    </row>
    <row r="80" spans="1:6" x14ac:dyDescent="0.25">
      <c r="A80" t="s">
        <v>3</v>
      </c>
      <c r="B80" t="s">
        <v>3</v>
      </c>
      <c r="C80">
        <v>0.15</v>
      </c>
      <c r="D80" t="s">
        <v>82</v>
      </c>
      <c r="E80" t="str">
        <f>VLOOKUP(D80,mappings!A:B,2,FALSE)</f>
        <v>STEM</v>
      </c>
      <c r="F80" t="s">
        <v>112</v>
      </c>
    </row>
    <row r="81" spans="1:6" x14ac:dyDescent="0.25">
      <c r="A81" t="s">
        <v>3</v>
      </c>
      <c r="B81" t="s">
        <v>3</v>
      </c>
      <c r="C81">
        <v>0.15</v>
      </c>
      <c r="D81" t="s">
        <v>83</v>
      </c>
      <c r="E81" t="str">
        <f>VLOOKUP(D81,mappings!A:B,2,FALSE)</f>
        <v>Sales</v>
      </c>
      <c r="F81" t="s">
        <v>112</v>
      </c>
    </row>
    <row r="82" spans="1:6" x14ac:dyDescent="0.25">
      <c r="A82" t="s">
        <v>3</v>
      </c>
      <c r="B82" t="s">
        <v>3</v>
      </c>
      <c r="C82">
        <v>0.15</v>
      </c>
      <c r="D82" t="s">
        <v>84</v>
      </c>
      <c r="E82" t="str">
        <f>VLOOKUP(D82,mappings!A:B,2,FALSE)</f>
        <v>Hospitality</v>
      </c>
      <c r="F82" t="s">
        <v>112</v>
      </c>
    </row>
    <row r="83" spans="1:6" x14ac:dyDescent="0.25">
      <c r="A83" t="s">
        <v>3</v>
      </c>
      <c r="B83" t="s">
        <v>3</v>
      </c>
      <c r="C83">
        <v>0.14000000000000001</v>
      </c>
      <c r="D83" t="s">
        <v>85</v>
      </c>
      <c r="E83" t="str">
        <f>VLOOKUP(D83,mappings!A:B,2,FALSE)</f>
        <v>STEM</v>
      </c>
      <c r="F83" t="s">
        <v>112</v>
      </c>
    </row>
    <row r="84" spans="1:6" x14ac:dyDescent="0.25">
      <c r="A84" t="s">
        <v>3</v>
      </c>
      <c r="B84" t="s">
        <v>3</v>
      </c>
      <c r="C84">
        <v>0.14000000000000001</v>
      </c>
      <c r="D84" t="s">
        <v>86</v>
      </c>
      <c r="E84" t="str">
        <f>VLOOKUP(D84,mappings!A:B,2,FALSE)</f>
        <v>Finance</v>
      </c>
      <c r="F84" t="s">
        <v>112</v>
      </c>
    </row>
    <row r="85" spans="1:6" x14ac:dyDescent="0.25">
      <c r="A85" t="s">
        <v>3</v>
      </c>
      <c r="B85" t="s">
        <v>3</v>
      </c>
      <c r="C85">
        <v>0.14000000000000001</v>
      </c>
      <c r="D85" t="s">
        <v>87</v>
      </c>
      <c r="E85" t="str">
        <f>VLOOKUP(D85,mappings!A:B,2,FALSE)</f>
        <v>Trades</v>
      </c>
      <c r="F85" t="s">
        <v>112</v>
      </c>
    </row>
    <row r="86" spans="1:6" x14ac:dyDescent="0.25">
      <c r="A86" t="s">
        <v>3</v>
      </c>
      <c r="B86" t="s">
        <v>3</v>
      </c>
      <c r="C86">
        <v>0.14000000000000001</v>
      </c>
      <c r="D86" t="s">
        <v>88</v>
      </c>
      <c r="E86" t="str">
        <f>VLOOKUP(D86,mappings!A:B,2,FALSE)</f>
        <v>Healthcare</v>
      </c>
      <c r="F86" t="s">
        <v>112</v>
      </c>
    </row>
    <row r="87" spans="1:6" x14ac:dyDescent="0.25">
      <c r="A87" t="s">
        <v>3</v>
      </c>
      <c r="B87" t="s">
        <v>3</v>
      </c>
      <c r="C87">
        <v>0.14000000000000001</v>
      </c>
      <c r="D87" t="s">
        <v>89</v>
      </c>
      <c r="E87" t="str">
        <f>VLOOKUP(D87,mappings!A:B,2,FALSE)</f>
        <v>Finance</v>
      </c>
      <c r="F87" t="s">
        <v>112</v>
      </c>
    </row>
    <row r="88" spans="1:6" x14ac:dyDescent="0.25">
      <c r="A88" t="s">
        <v>3</v>
      </c>
      <c r="B88" t="s">
        <v>3</v>
      </c>
      <c r="C88">
        <v>0.14000000000000001</v>
      </c>
      <c r="D88" t="s">
        <v>90</v>
      </c>
      <c r="E88" t="str">
        <f>VLOOKUP(D88,mappings!A:B,2,FALSE)</f>
        <v>Marketing</v>
      </c>
      <c r="F88" t="s">
        <v>112</v>
      </c>
    </row>
    <row r="89" spans="1:6" x14ac:dyDescent="0.25">
      <c r="A89" t="s">
        <v>3</v>
      </c>
      <c r="B89" t="s">
        <v>3</v>
      </c>
      <c r="C89">
        <v>0.14000000000000001</v>
      </c>
      <c r="D89" t="s">
        <v>91</v>
      </c>
      <c r="E89" t="str">
        <f>VLOOKUP(D89,mappings!A:B,2,FALSE)</f>
        <v>Finance</v>
      </c>
      <c r="F89" t="s">
        <v>112</v>
      </c>
    </row>
    <row r="90" spans="1:6" x14ac:dyDescent="0.25">
      <c r="A90" t="s">
        <v>3</v>
      </c>
      <c r="B90" t="s">
        <v>3</v>
      </c>
      <c r="C90">
        <v>0.14000000000000001</v>
      </c>
      <c r="D90" t="s">
        <v>92</v>
      </c>
      <c r="E90" t="str">
        <f>VLOOKUP(D90,mappings!A:B,2,FALSE)</f>
        <v>Management</v>
      </c>
      <c r="F90" t="s">
        <v>112</v>
      </c>
    </row>
    <row r="91" spans="1:6" x14ac:dyDescent="0.25">
      <c r="A91" t="s">
        <v>3</v>
      </c>
      <c r="B91" t="s">
        <v>3</v>
      </c>
      <c r="C91">
        <v>0.14000000000000001</v>
      </c>
      <c r="D91" t="s">
        <v>93</v>
      </c>
      <c r="E91" t="str">
        <f>VLOOKUP(D91,mappings!A:B,2,FALSE)</f>
        <v>Legal</v>
      </c>
      <c r="F91" t="s">
        <v>112</v>
      </c>
    </row>
    <row r="92" spans="1:6" x14ac:dyDescent="0.25">
      <c r="A92" t="s">
        <v>3</v>
      </c>
      <c r="B92" t="s">
        <v>3</v>
      </c>
      <c r="C92">
        <v>0.13</v>
      </c>
      <c r="D92" t="s">
        <v>94</v>
      </c>
      <c r="E92" t="str">
        <f>VLOOKUP(D92,mappings!A:B,2,FALSE)</f>
        <v>Management</v>
      </c>
      <c r="F92" t="s">
        <v>112</v>
      </c>
    </row>
    <row r="93" spans="1:6" x14ac:dyDescent="0.25">
      <c r="A93" t="s">
        <v>3</v>
      </c>
      <c r="B93" t="s">
        <v>3</v>
      </c>
      <c r="C93">
        <v>0.13</v>
      </c>
      <c r="D93" t="s">
        <v>95</v>
      </c>
      <c r="E93" t="str">
        <f>VLOOKUP(D93,mappings!A:B,2,FALSE)</f>
        <v>STEM</v>
      </c>
      <c r="F93" t="s">
        <v>112</v>
      </c>
    </row>
    <row r="94" spans="1:6" x14ac:dyDescent="0.25">
      <c r="A94" t="s">
        <v>3</v>
      </c>
      <c r="B94" t="s">
        <v>3</v>
      </c>
      <c r="C94">
        <v>0.13</v>
      </c>
      <c r="D94" t="s">
        <v>96</v>
      </c>
      <c r="E94" t="str">
        <f>VLOOKUP(D94,mappings!A:B,2,FALSE)</f>
        <v>Sales</v>
      </c>
      <c r="F94" t="s">
        <v>112</v>
      </c>
    </row>
    <row r="95" spans="1:6" x14ac:dyDescent="0.25">
      <c r="A95" t="s">
        <v>3</v>
      </c>
      <c r="B95" t="s">
        <v>3</v>
      </c>
      <c r="C95">
        <v>0.12</v>
      </c>
      <c r="D95" t="s">
        <v>97</v>
      </c>
      <c r="E95" t="str">
        <f>VLOOKUP(D95,mappings!A:B,2,FALSE)</f>
        <v>STEM</v>
      </c>
      <c r="F95" t="s">
        <v>112</v>
      </c>
    </row>
    <row r="96" spans="1:6" x14ac:dyDescent="0.25">
      <c r="A96" t="s">
        <v>3</v>
      </c>
      <c r="B96" t="s">
        <v>3</v>
      </c>
      <c r="C96">
        <v>0.12</v>
      </c>
      <c r="D96" t="s">
        <v>98</v>
      </c>
      <c r="E96" t="str">
        <f>VLOOKUP(D96,mappings!A:B,2,FALSE)</f>
        <v>STEM</v>
      </c>
      <c r="F96" t="s">
        <v>112</v>
      </c>
    </row>
    <row r="97" spans="1:6" x14ac:dyDescent="0.25">
      <c r="A97" t="s">
        <v>3</v>
      </c>
      <c r="B97" t="s">
        <v>3</v>
      </c>
      <c r="C97">
        <v>0.12</v>
      </c>
      <c r="D97" t="s">
        <v>99</v>
      </c>
      <c r="E97" t="str">
        <f>VLOOKUP(D97,mappings!A:B,2,FALSE)</f>
        <v>Operations</v>
      </c>
      <c r="F97" t="s">
        <v>112</v>
      </c>
    </row>
    <row r="98" spans="1:6" x14ac:dyDescent="0.25">
      <c r="A98" t="s">
        <v>3</v>
      </c>
      <c r="B98" t="s">
        <v>3</v>
      </c>
      <c r="C98">
        <v>0.12</v>
      </c>
      <c r="D98" t="s">
        <v>100</v>
      </c>
      <c r="E98" t="str">
        <f>VLOOKUP(D98,mappings!A:B,2,FALSE)</f>
        <v>Management</v>
      </c>
      <c r="F98" t="s">
        <v>112</v>
      </c>
    </row>
    <row r="99" spans="1:6" x14ac:dyDescent="0.25">
      <c r="A99" t="s">
        <v>3</v>
      </c>
      <c r="B99" t="s">
        <v>3</v>
      </c>
      <c r="C99">
        <v>0.11</v>
      </c>
      <c r="D99" t="s">
        <v>101</v>
      </c>
      <c r="E99" t="str">
        <f>VLOOKUP(D99,mappings!A:B,2,FALSE)</f>
        <v>Healthcare</v>
      </c>
      <c r="F99" t="s">
        <v>112</v>
      </c>
    </row>
    <row r="100" spans="1:6" x14ac:dyDescent="0.25">
      <c r="A100" t="s">
        <v>3</v>
      </c>
      <c r="B100" t="s">
        <v>3</v>
      </c>
      <c r="C100">
        <v>0.11</v>
      </c>
      <c r="D100" t="s">
        <v>102</v>
      </c>
      <c r="E100" t="str">
        <f>VLOOKUP(D100,mappings!A:B,2,FALSE)</f>
        <v>Operations</v>
      </c>
      <c r="F100" t="s">
        <v>112</v>
      </c>
    </row>
    <row r="101" spans="1:6" x14ac:dyDescent="0.25">
      <c r="A101" t="s">
        <v>3</v>
      </c>
      <c r="B101" t="s">
        <v>3</v>
      </c>
      <c r="C101">
        <v>0.09</v>
      </c>
      <c r="D101" t="s">
        <v>103</v>
      </c>
      <c r="E101" t="str">
        <f>VLOOKUP(D101,mappings!A:B,2,FALSE)</f>
        <v>Healthcare</v>
      </c>
      <c r="F101" t="s">
        <v>112</v>
      </c>
    </row>
    <row r="102" spans="1:6" x14ac:dyDescent="0.25">
      <c r="A102" t="s">
        <v>104</v>
      </c>
      <c r="B102" t="s">
        <v>104</v>
      </c>
      <c r="C102">
        <v>0.32</v>
      </c>
      <c r="D102" t="s">
        <v>4</v>
      </c>
      <c r="E102" t="str">
        <f>VLOOKUP(D102,mappings!A:B,2,FALSE)</f>
        <v>Creative</v>
      </c>
      <c r="F102" t="s">
        <v>112</v>
      </c>
    </row>
    <row r="103" spans="1:6" x14ac:dyDescent="0.25">
      <c r="A103" t="s">
        <v>104</v>
      </c>
      <c r="B103" t="s">
        <v>104</v>
      </c>
      <c r="C103">
        <v>0.3</v>
      </c>
      <c r="D103" t="s">
        <v>7</v>
      </c>
      <c r="E103" t="str">
        <f>VLOOKUP(D103,mappings!A:B,2,FALSE)</f>
        <v>Legal</v>
      </c>
      <c r="F103" t="s">
        <v>112</v>
      </c>
    </row>
    <row r="104" spans="1:6" x14ac:dyDescent="0.25">
      <c r="A104" t="s">
        <v>104</v>
      </c>
      <c r="B104" t="s">
        <v>104</v>
      </c>
      <c r="C104">
        <v>0.3</v>
      </c>
      <c r="D104" t="s">
        <v>5</v>
      </c>
      <c r="E104" t="str">
        <f>VLOOKUP(D104,mappings!A:B,2,FALSE)</f>
        <v>Hospitality</v>
      </c>
      <c r="F104" t="s">
        <v>112</v>
      </c>
    </row>
    <row r="105" spans="1:6" x14ac:dyDescent="0.25">
      <c r="A105" t="s">
        <v>104</v>
      </c>
      <c r="B105" t="s">
        <v>104</v>
      </c>
      <c r="C105">
        <v>0.28999999999999998</v>
      </c>
      <c r="D105" t="s">
        <v>8</v>
      </c>
      <c r="E105" t="str">
        <f>VLOOKUP(D105,mappings!A:B,2,FALSE)</f>
        <v>Healthcare</v>
      </c>
      <c r="F105" t="s">
        <v>112</v>
      </c>
    </row>
    <row r="106" spans="1:6" x14ac:dyDescent="0.25">
      <c r="A106" t="s">
        <v>104</v>
      </c>
      <c r="B106" t="s">
        <v>104</v>
      </c>
      <c r="C106">
        <v>0.26</v>
      </c>
      <c r="D106" t="s">
        <v>15</v>
      </c>
      <c r="E106" t="str">
        <f>VLOOKUP(D106,mappings!A:B,2,FALSE)</f>
        <v>Trades</v>
      </c>
      <c r="F106" t="s">
        <v>112</v>
      </c>
    </row>
    <row r="107" spans="1:6" x14ac:dyDescent="0.25">
      <c r="A107" t="s">
        <v>104</v>
      </c>
      <c r="B107" t="s">
        <v>104</v>
      </c>
      <c r="C107">
        <v>0.25</v>
      </c>
      <c r="D107" t="s">
        <v>21</v>
      </c>
      <c r="E107" t="str">
        <f>VLOOKUP(D107,mappings!A:B,2,FALSE)</f>
        <v>Trades</v>
      </c>
      <c r="F107" t="s">
        <v>112</v>
      </c>
    </row>
    <row r="108" spans="1:6" x14ac:dyDescent="0.25">
      <c r="A108" t="s">
        <v>104</v>
      </c>
      <c r="B108" t="s">
        <v>104</v>
      </c>
      <c r="C108">
        <v>0.24</v>
      </c>
      <c r="D108" t="s">
        <v>41</v>
      </c>
      <c r="E108" t="str">
        <f>VLOOKUP(D108,mappings!A:B,2,FALSE)</f>
        <v>Healthcare</v>
      </c>
      <c r="F108" t="s">
        <v>112</v>
      </c>
    </row>
    <row r="109" spans="1:6" x14ac:dyDescent="0.25">
      <c r="A109" t="s">
        <v>104</v>
      </c>
      <c r="B109" t="s">
        <v>104</v>
      </c>
      <c r="C109">
        <v>0.24</v>
      </c>
      <c r="D109" t="s">
        <v>10</v>
      </c>
      <c r="E109" t="str">
        <f>VLOOKUP(D109,mappings!A:B,2,FALSE)</f>
        <v>Healthcare</v>
      </c>
      <c r="F109" t="s">
        <v>112</v>
      </c>
    </row>
    <row r="110" spans="1:6" x14ac:dyDescent="0.25">
      <c r="A110" t="s">
        <v>104</v>
      </c>
      <c r="B110" t="s">
        <v>104</v>
      </c>
      <c r="C110">
        <v>0.23</v>
      </c>
      <c r="D110" t="s">
        <v>37</v>
      </c>
      <c r="E110" t="str">
        <f>VLOOKUP(D110,mappings!A:B,2,FALSE)</f>
        <v>Marketing</v>
      </c>
      <c r="F110" t="s">
        <v>112</v>
      </c>
    </row>
    <row r="111" spans="1:6" x14ac:dyDescent="0.25">
      <c r="A111" t="s">
        <v>104</v>
      </c>
      <c r="B111" t="s">
        <v>104</v>
      </c>
      <c r="C111">
        <v>0.23</v>
      </c>
      <c r="D111" t="s">
        <v>27</v>
      </c>
      <c r="E111" t="str">
        <f>VLOOKUP(D111,mappings!A:B,2,FALSE)</f>
        <v>Management</v>
      </c>
      <c r="F111" t="s">
        <v>112</v>
      </c>
    </row>
    <row r="112" spans="1:6" x14ac:dyDescent="0.25">
      <c r="A112" t="s">
        <v>104</v>
      </c>
      <c r="B112" t="s">
        <v>104</v>
      </c>
      <c r="C112">
        <v>0.23</v>
      </c>
      <c r="D112" t="s">
        <v>12</v>
      </c>
      <c r="E112" t="str">
        <f>VLOOKUP(D112,mappings!A:B,2,FALSE)</f>
        <v>STEM</v>
      </c>
      <c r="F112" t="s">
        <v>112</v>
      </c>
    </row>
    <row r="113" spans="1:6" x14ac:dyDescent="0.25">
      <c r="A113" t="s">
        <v>104</v>
      </c>
      <c r="B113" t="s">
        <v>104</v>
      </c>
      <c r="C113">
        <v>0.23</v>
      </c>
      <c r="D113" t="s">
        <v>11</v>
      </c>
      <c r="E113" t="str">
        <f>VLOOKUP(D113,mappings!A:B,2,FALSE)</f>
        <v>Human Resources</v>
      </c>
      <c r="F113" t="s">
        <v>112</v>
      </c>
    </row>
    <row r="114" spans="1:6" x14ac:dyDescent="0.25">
      <c r="A114" t="s">
        <v>104</v>
      </c>
      <c r="B114" t="s">
        <v>104</v>
      </c>
      <c r="C114">
        <v>0.23</v>
      </c>
      <c r="D114" t="s">
        <v>42</v>
      </c>
      <c r="E114" t="str">
        <f>VLOOKUP(D114,mappings!A:B,2,FALSE)</f>
        <v>Healthcare</v>
      </c>
      <c r="F114" t="s">
        <v>112</v>
      </c>
    </row>
    <row r="115" spans="1:6" x14ac:dyDescent="0.25">
      <c r="A115" t="s">
        <v>104</v>
      </c>
      <c r="B115" t="s">
        <v>104</v>
      </c>
      <c r="C115">
        <v>0.23</v>
      </c>
      <c r="D115" t="s">
        <v>44</v>
      </c>
      <c r="E115" t="str">
        <f>VLOOKUP(D115,mappings!A:B,2,FALSE)</f>
        <v>Healthcare</v>
      </c>
      <c r="F115" t="s">
        <v>112</v>
      </c>
    </row>
    <row r="116" spans="1:6" x14ac:dyDescent="0.25">
      <c r="A116" t="s">
        <v>104</v>
      </c>
      <c r="B116" t="s">
        <v>104</v>
      </c>
      <c r="C116">
        <v>0.23</v>
      </c>
      <c r="D116" t="s">
        <v>16</v>
      </c>
      <c r="E116" t="str">
        <f>VLOOKUP(D116,mappings!A:B,2,FALSE)</f>
        <v>Finance</v>
      </c>
      <c r="F116" t="s">
        <v>112</v>
      </c>
    </row>
    <row r="117" spans="1:6" x14ac:dyDescent="0.25">
      <c r="A117" t="s">
        <v>104</v>
      </c>
      <c r="B117" t="s">
        <v>104</v>
      </c>
      <c r="C117">
        <v>0.23</v>
      </c>
      <c r="D117" t="s">
        <v>14</v>
      </c>
      <c r="E117" t="str">
        <f>VLOOKUP(D117,mappings!A:B,2,FALSE)</f>
        <v>Creative</v>
      </c>
      <c r="F117" t="s">
        <v>112</v>
      </c>
    </row>
    <row r="118" spans="1:6" x14ac:dyDescent="0.25">
      <c r="A118" t="s">
        <v>104</v>
      </c>
      <c r="B118" t="s">
        <v>104</v>
      </c>
      <c r="C118">
        <v>0.23</v>
      </c>
      <c r="D118" t="s">
        <v>31</v>
      </c>
      <c r="E118" t="str">
        <f>VLOOKUP(D118,mappings!A:B,2,FALSE)</f>
        <v>STEM</v>
      </c>
      <c r="F118" t="s">
        <v>112</v>
      </c>
    </row>
    <row r="119" spans="1:6" x14ac:dyDescent="0.25">
      <c r="A119" t="s">
        <v>104</v>
      </c>
      <c r="B119" t="s">
        <v>104</v>
      </c>
      <c r="C119">
        <v>0.23</v>
      </c>
      <c r="D119" t="s">
        <v>40</v>
      </c>
      <c r="E119" t="str">
        <f>VLOOKUP(D119,mappings!A:B,2,FALSE)</f>
        <v>STEM</v>
      </c>
      <c r="F119" t="s">
        <v>112</v>
      </c>
    </row>
    <row r="120" spans="1:6" x14ac:dyDescent="0.25">
      <c r="A120" t="s">
        <v>104</v>
      </c>
      <c r="B120" t="s">
        <v>104</v>
      </c>
      <c r="C120">
        <v>0.22</v>
      </c>
      <c r="D120" t="s">
        <v>38</v>
      </c>
      <c r="E120" t="str">
        <f>VLOOKUP(D120,mappings!A:B,2,FALSE)</f>
        <v>Healthcare</v>
      </c>
      <c r="F120" t="s">
        <v>112</v>
      </c>
    </row>
    <row r="121" spans="1:6" x14ac:dyDescent="0.25">
      <c r="A121" t="s">
        <v>104</v>
      </c>
      <c r="B121" t="s">
        <v>104</v>
      </c>
      <c r="C121">
        <v>0.22</v>
      </c>
      <c r="D121" t="s">
        <v>65</v>
      </c>
      <c r="E121" t="str">
        <f>VLOOKUP(D121,mappings!A:B,2,FALSE)</f>
        <v>Management</v>
      </c>
      <c r="F121" t="s">
        <v>112</v>
      </c>
    </row>
    <row r="122" spans="1:6" x14ac:dyDescent="0.25">
      <c r="A122" t="s">
        <v>104</v>
      </c>
      <c r="B122" t="s">
        <v>104</v>
      </c>
      <c r="C122">
        <v>0.21</v>
      </c>
      <c r="D122" t="s">
        <v>43</v>
      </c>
      <c r="E122" t="str">
        <f>VLOOKUP(D122,mappings!A:B,2,FALSE)</f>
        <v>Management</v>
      </c>
      <c r="F122" t="s">
        <v>112</v>
      </c>
    </row>
    <row r="123" spans="1:6" x14ac:dyDescent="0.25">
      <c r="A123" t="s">
        <v>104</v>
      </c>
      <c r="B123" t="s">
        <v>104</v>
      </c>
      <c r="C123">
        <v>0.21</v>
      </c>
      <c r="D123" t="s">
        <v>19</v>
      </c>
      <c r="E123" t="str">
        <f>VLOOKUP(D123,mappings!A:B,2,FALSE)</f>
        <v>Finance</v>
      </c>
      <c r="F123" t="s">
        <v>112</v>
      </c>
    </row>
    <row r="124" spans="1:6" x14ac:dyDescent="0.25">
      <c r="A124" t="s">
        <v>104</v>
      </c>
      <c r="B124" t="s">
        <v>104</v>
      </c>
      <c r="C124">
        <v>0.21</v>
      </c>
      <c r="D124" t="s">
        <v>24</v>
      </c>
      <c r="E124" t="str">
        <f>VLOOKUP(D124,mappings!A:B,2,FALSE)</f>
        <v>Education</v>
      </c>
      <c r="F124" t="s">
        <v>112</v>
      </c>
    </row>
    <row r="125" spans="1:6" x14ac:dyDescent="0.25">
      <c r="A125" t="s">
        <v>104</v>
      </c>
      <c r="B125" t="s">
        <v>104</v>
      </c>
      <c r="C125">
        <v>0.21</v>
      </c>
      <c r="D125" t="s">
        <v>17</v>
      </c>
      <c r="E125" t="str">
        <f>VLOOKUP(D125,mappings!A:B,2,FALSE)</f>
        <v>Sales</v>
      </c>
      <c r="F125" t="s">
        <v>112</v>
      </c>
    </row>
    <row r="126" spans="1:6" x14ac:dyDescent="0.25">
      <c r="A126" t="s">
        <v>104</v>
      </c>
      <c r="B126" t="s">
        <v>104</v>
      </c>
      <c r="C126">
        <v>0.2</v>
      </c>
      <c r="D126" t="s">
        <v>52</v>
      </c>
      <c r="E126" t="str">
        <f>VLOOKUP(D126,mappings!A:B,2,FALSE)</f>
        <v>Operations</v>
      </c>
      <c r="F126" t="s">
        <v>112</v>
      </c>
    </row>
    <row r="127" spans="1:6" x14ac:dyDescent="0.25">
      <c r="A127" t="s">
        <v>104</v>
      </c>
      <c r="B127" t="s">
        <v>104</v>
      </c>
      <c r="C127">
        <v>0.2</v>
      </c>
      <c r="D127" t="s">
        <v>25</v>
      </c>
      <c r="E127" t="str">
        <f>VLOOKUP(D127,mappings!A:B,2,FALSE)</f>
        <v>Creative</v>
      </c>
      <c r="F127" t="s">
        <v>112</v>
      </c>
    </row>
    <row r="128" spans="1:6" x14ac:dyDescent="0.25">
      <c r="A128" t="s">
        <v>104</v>
      </c>
      <c r="B128" t="s">
        <v>104</v>
      </c>
      <c r="C128">
        <v>0.2</v>
      </c>
      <c r="D128" t="s">
        <v>47</v>
      </c>
      <c r="E128" t="str">
        <f>VLOOKUP(D128,mappings!A:B,2,FALSE)</f>
        <v>Legal</v>
      </c>
      <c r="F128" t="s">
        <v>112</v>
      </c>
    </row>
    <row r="129" spans="1:6" x14ac:dyDescent="0.25">
      <c r="A129" t="s">
        <v>104</v>
      </c>
      <c r="B129" t="s">
        <v>104</v>
      </c>
      <c r="C129">
        <v>0.2</v>
      </c>
      <c r="D129" t="s">
        <v>22</v>
      </c>
      <c r="E129" t="str">
        <f>VLOOKUP(D129,mappings!A:B,2,FALSE)</f>
        <v>Management</v>
      </c>
      <c r="F129" t="s">
        <v>112</v>
      </c>
    </row>
    <row r="130" spans="1:6" x14ac:dyDescent="0.25">
      <c r="A130" t="s">
        <v>104</v>
      </c>
      <c r="B130" t="s">
        <v>104</v>
      </c>
      <c r="C130">
        <v>0.2</v>
      </c>
      <c r="D130" t="s">
        <v>13</v>
      </c>
      <c r="E130" t="str">
        <f>VLOOKUP(D130,mappings!A:B,2,FALSE)</f>
        <v>Administration</v>
      </c>
      <c r="F130" t="s">
        <v>112</v>
      </c>
    </row>
    <row r="131" spans="1:6" x14ac:dyDescent="0.25">
      <c r="A131" t="s">
        <v>104</v>
      </c>
      <c r="B131" t="s">
        <v>104</v>
      </c>
      <c r="C131">
        <v>0.2</v>
      </c>
      <c r="D131" t="s">
        <v>9</v>
      </c>
      <c r="E131" t="str">
        <f>VLOOKUP(D131,mappings!A:B,2,FALSE)</f>
        <v>Education</v>
      </c>
      <c r="F131" t="s">
        <v>112</v>
      </c>
    </row>
    <row r="132" spans="1:6" x14ac:dyDescent="0.25">
      <c r="A132" t="s">
        <v>104</v>
      </c>
      <c r="B132" t="s">
        <v>104</v>
      </c>
      <c r="C132">
        <v>0.2</v>
      </c>
      <c r="D132" t="s">
        <v>33</v>
      </c>
      <c r="E132" t="str">
        <f>VLOOKUP(D132,mappings!A:B,2,FALSE)</f>
        <v>Education</v>
      </c>
      <c r="F132" t="s">
        <v>112</v>
      </c>
    </row>
    <row r="133" spans="1:6" x14ac:dyDescent="0.25">
      <c r="A133" t="s">
        <v>104</v>
      </c>
      <c r="B133" t="s">
        <v>104</v>
      </c>
      <c r="C133">
        <v>0.2</v>
      </c>
      <c r="D133" t="s">
        <v>29</v>
      </c>
      <c r="E133" t="str">
        <f>VLOOKUP(D133,mappings!A:B,2,FALSE)</f>
        <v>Creative</v>
      </c>
      <c r="F133" t="s">
        <v>112</v>
      </c>
    </row>
    <row r="134" spans="1:6" x14ac:dyDescent="0.25">
      <c r="A134" t="s">
        <v>104</v>
      </c>
      <c r="B134" t="s">
        <v>104</v>
      </c>
      <c r="C134">
        <v>0.2</v>
      </c>
      <c r="D134" t="s">
        <v>23</v>
      </c>
      <c r="E134" t="str">
        <f>VLOOKUP(D134,mappings!A:B,2,FALSE)</f>
        <v>Creative</v>
      </c>
      <c r="F134" t="s">
        <v>112</v>
      </c>
    </row>
    <row r="135" spans="1:6" x14ac:dyDescent="0.25">
      <c r="A135" t="s">
        <v>104</v>
      </c>
      <c r="B135" t="s">
        <v>104</v>
      </c>
      <c r="C135">
        <v>0.19</v>
      </c>
      <c r="D135" t="s">
        <v>20</v>
      </c>
      <c r="E135" t="str">
        <f>VLOOKUP(D135,mappings!A:B,2,FALSE)</f>
        <v>Hospitality</v>
      </c>
      <c r="F135" t="s">
        <v>112</v>
      </c>
    </row>
    <row r="136" spans="1:6" x14ac:dyDescent="0.25">
      <c r="A136" t="s">
        <v>104</v>
      </c>
      <c r="B136" t="s">
        <v>104</v>
      </c>
      <c r="C136">
        <v>0.19</v>
      </c>
      <c r="D136" t="s">
        <v>78</v>
      </c>
      <c r="E136" t="str">
        <f>VLOOKUP(D136,mappings!A:B,2,FALSE)</f>
        <v>Hospitality</v>
      </c>
      <c r="F136" t="s">
        <v>112</v>
      </c>
    </row>
    <row r="137" spans="1:6" x14ac:dyDescent="0.25">
      <c r="A137" t="s">
        <v>104</v>
      </c>
      <c r="B137" t="s">
        <v>104</v>
      </c>
      <c r="C137">
        <v>0.19</v>
      </c>
      <c r="D137" t="s">
        <v>46</v>
      </c>
      <c r="E137" t="str">
        <f>VLOOKUP(D137,mappings!A:B,2,FALSE)</f>
        <v>STEM</v>
      </c>
      <c r="F137" t="s">
        <v>112</v>
      </c>
    </row>
    <row r="138" spans="1:6" x14ac:dyDescent="0.25">
      <c r="A138" t="s">
        <v>104</v>
      </c>
      <c r="B138" t="s">
        <v>104</v>
      </c>
      <c r="C138">
        <v>0.19</v>
      </c>
      <c r="D138" t="s">
        <v>87</v>
      </c>
      <c r="E138" t="str">
        <f>VLOOKUP(D138,mappings!A:B,2,FALSE)</f>
        <v>Trades</v>
      </c>
      <c r="F138" t="s">
        <v>112</v>
      </c>
    </row>
    <row r="139" spans="1:6" x14ac:dyDescent="0.25">
      <c r="A139" t="s">
        <v>104</v>
      </c>
      <c r="B139" t="s">
        <v>104</v>
      </c>
      <c r="C139">
        <v>0.19</v>
      </c>
      <c r="D139" t="s">
        <v>30</v>
      </c>
      <c r="E139" t="str">
        <f>VLOOKUP(D139,mappings!A:B,2,FALSE)</f>
        <v>STEM</v>
      </c>
      <c r="F139" t="s">
        <v>112</v>
      </c>
    </row>
    <row r="140" spans="1:6" x14ac:dyDescent="0.25">
      <c r="A140" t="s">
        <v>104</v>
      </c>
      <c r="B140" t="s">
        <v>104</v>
      </c>
      <c r="C140">
        <v>0.19</v>
      </c>
      <c r="D140" t="s">
        <v>35</v>
      </c>
      <c r="E140" t="str">
        <f>VLOOKUP(D140,mappings!A:B,2,FALSE)</f>
        <v>Education</v>
      </c>
      <c r="F140" t="s">
        <v>112</v>
      </c>
    </row>
    <row r="141" spans="1:6" x14ac:dyDescent="0.25">
      <c r="A141" t="s">
        <v>104</v>
      </c>
      <c r="B141" t="s">
        <v>104</v>
      </c>
      <c r="C141">
        <v>0.19</v>
      </c>
      <c r="D141" t="s">
        <v>54</v>
      </c>
      <c r="E141" t="str">
        <f>VLOOKUP(D141,mappings!A:B,2,FALSE)</f>
        <v>Marketing</v>
      </c>
      <c r="F141" t="s">
        <v>112</v>
      </c>
    </row>
    <row r="142" spans="1:6" x14ac:dyDescent="0.25">
      <c r="A142" t="s">
        <v>104</v>
      </c>
      <c r="B142" t="s">
        <v>104</v>
      </c>
      <c r="C142">
        <v>0.19</v>
      </c>
      <c r="D142" t="s">
        <v>34</v>
      </c>
      <c r="E142" t="str">
        <f>VLOOKUP(D142,mappings!A:B,2,FALSE)</f>
        <v>STEM</v>
      </c>
      <c r="F142" t="s">
        <v>112</v>
      </c>
    </row>
    <row r="143" spans="1:6" x14ac:dyDescent="0.25">
      <c r="A143" t="s">
        <v>104</v>
      </c>
      <c r="B143" t="s">
        <v>104</v>
      </c>
      <c r="C143">
        <v>0.18</v>
      </c>
      <c r="D143" t="s">
        <v>39</v>
      </c>
      <c r="E143" t="str">
        <f>VLOOKUP(D143,mappings!A:B,2,FALSE)</f>
        <v>Administration</v>
      </c>
      <c r="F143" t="s">
        <v>112</v>
      </c>
    </row>
    <row r="144" spans="1:6" x14ac:dyDescent="0.25">
      <c r="A144" t="s">
        <v>104</v>
      </c>
      <c r="B144" t="s">
        <v>104</v>
      </c>
      <c r="C144">
        <v>0.18</v>
      </c>
      <c r="D144" t="s">
        <v>28</v>
      </c>
      <c r="E144" t="str">
        <f>VLOOKUP(D144,mappings!A:B,2,FALSE)</f>
        <v>STEM</v>
      </c>
      <c r="F144" t="s">
        <v>112</v>
      </c>
    </row>
    <row r="145" spans="1:6" x14ac:dyDescent="0.25">
      <c r="A145" t="s">
        <v>104</v>
      </c>
      <c r="B145" t="s">
        <v>104</v>
      </c>
      <c r="C145">
        <v>0.18</v>
      </c>
      <c r="D145" t="s">
        <v>85</v>
      </c>
      <c r="E145" t="str">
        <f>VLOOKUP(D145,mappings!A:B,2,FALSE)</f>
        <v>STEM</v>
      </c>
      <c r="F145" t="s">
        <v>112</v>
      </c>
    </row>
    <row r="146" spans="1:6" x14ac:dyDescent="0.25">
      <c r="A146" t="s">
        <v>104</v>
      </c>
      <c r="B146" t="s">
        <v>104</v>
      </c>
      <c r="C146">
        <v>0.18</v>
      </c>
      <c r="D146" t="s">
        <v>76</v>
      </c>
      <c r="E146" t="str">
        <f>VLOOKUP(D146,mappings!A:B,2,FALSE)</f>
        <v>Real Estate</v>
      </c>
      <c r="F146" t="s">
        <v>112</v>
      </c>
    </row>
    <row r="147" spans="1:6" x14ac:dyDescent="0.25">
      <c r="A147" t="s">
        <v>104</v>
      </c>
      <c r="B147" t="s">
        <v>104</v>
      </c>
      <c r="C147">
        <v>0.18</v>
      </c>
      <c r="D147" t="s">
        <v>32</v>
      </c>
      <c r="E147" t="str">
        <f>VLOOKUP(D147,mappings!A:B,2,FALSE)</f>
        <v>Human Resources</v>
      </c>
      <c r="F147" t="s">
        <v>112</v>
      </c>
    </row>
    <row r="148" spans="1:6" x14ac:dyDescent="0.25">
      <c r="A148" t="s">
        <v>104</v>
      </c>
      <c r="B148" t="s">
        <v>104</v>
      </c>
      <c r="C148">
        <v>0.18</v>
      </c>
      <c r="D148" t="s">
        <v>49</v>
      </c>
      <c r="E148" t="str">
        <f>VLOOKUP(D148,mappings!A:B,2,FALSE)</f>
        <v>Healthcare</v>
      </c>
      <c r="F148" t="s">
        <v>112</v>
      </c>
    </row>
    <row r="149" spans="1:6" x14ac:dyDescent="0.25">
      <c r="A149" t="s">
        <v>104</v>
      </c>
      <c r="B149" t="s">
        <v>104</v>
      </c>
      <c r="C149">
        <v>0.18</v>
      </c>
      <c r="D149" t="s">
        <v>66</v>
      </c>
      <c r="E149" t="str">
        <f>VLOOKUP(D149,mappings!A:B,2,FALSE)</f>
        <v>Healthcare</v>
      </c>
      <c r="F149" t="s">
        <v>112</v>
      </c>
    </row>
    <row r="150" spans="1:6" x14ac:dyDescent="0.25">
      <c r="A150" t="s">
        <v>104</v>
      </c>
      <c r="B150" t="s">
        <v>104</v>
      </c>
      <c r="C150">
        <v>0.17</v>
      </c>
      <c r="D150" t="s">
        <v>26</v>
      </c>
      <c r="E150" t="str">
        <f>VLOOKUP(D150,mappings!A:B,2,FALSE)</f>
        <v>Healthcare</v>
      </c>
      <c r="F150" t="s">
        <v>112</v>
      </c>
    </row>
    <row r="151" spans="1:6" x14ac:dyDescent="0.25">
      <c r="A151" t="s">
        <v>104</v>
      </c>
      <c r="B151" t="s">
        <v>104</v>
      </c>
      <c r="C151">
        <v>0.17</v>
      </c>
      <c r="D151" t="s">
        <v>68</v>
      </c>
      <c r="E151" t="str">
        <f>VLOOKUP(D151,mappings!A:B,2,FALSE)</f>
        <v>STEM</v>
      </c>
      <c r="F151" t="s">
        <v>112</v>
      </c>
    </row>
    <row r="152" spans="1:6" x14ac:dyDescent="0.25">
      <c r="A152" t="s">
        <v>104</v>
      </c>
      <c r="B152" t="s">
        <v>104</v>
      </c>
      <c r="C152">
        <v>0.17</v>
      </c>
      <c r="D152" t="s">
        <v>57</v>
      </c>
      <c r="E152" t="str">
        <f>VLOOKUP(D152,mappings!A:B,2,FALSE)</f>
        <v>Finance</v>
      </c>
      <c r="F152" t="s">
        <v>112</v>
      </c>
    </row>
    <row r="153" spans="1:6" x14ac:dyDescent="0.25">
      <c r="A153" t="s">
        <v>104</v>
      </c>
      <c r="B153" t="s">
        <v>104</v>
      </c>
      <c r="C153">
        <v>0.17</v>
      </c>
      <c r="D153" t="s">
        <v>71</v>
      </c>
      <c r="E153" t="str">
        <f>VLOOKUP(D153,mappings!A:B,2,FALSE)</f>
        <v>STEM</v>
      </c>
      <c r="F153" t="s">
        <v>112</v>
      </c>
    </row>
    <row r="154" spans="1:6" x14ac:dyDescent="0.25">
      <c r="A154" t="s">
        <v>104</v>
      </c>
      <c r="B154" t="s">
        <v>104</v>
      </c>
      <c r="C154">
        <v>0.17</v>
      </c>
      <c r="D154" t="s">
        <v>69</v>
      </c>
      <c r="E154" t="str">
        <f>VLOOKUP(D154,mappings!A:B,2,FALSE)</f>
        <v>Hospitality</v>
      </c>
      <c r="F154" t="s">
        <v>112</v>
      </c>
    </row>
    <row r="155" spans="1:6" x14ac:dyDescent="0.25">
      <c r="A155" t="s">
        <v>104</v>
      </c>
      <c r="B155" t="s">
        <v>104</v>
      </c>
      <c r="C155">
        <v>0.17</v>
      </c>
      <c r="D155" t="s">
        <v>79</v>
      </c>
      <c r="E155" t="str">
        <f>VLOOKUP(D155,mappings!A:B,2,FALSE)</f>
        <v>Marketing</v>
      </c>
      <c r="F155" t="s">
        <v>112</v>
      </c>
    </row>
    <row r="156" spans="1:6" x14ac:dyDescent="0.25">
      <c r="A156" t="s">
        <v>104</v>
      </c>
      <c r="B156" t="s">
        <v>104</v>
      </c>
      <c r="C156">
        <v>0.16</v>
      </c>
      <c r="D156" t="s">
        <v>84</v>
      </c>
      <c r="E156" t="str">
        <f>VLOOKUP(D156,mappings!A:B,2,FALSE)</f>
        <v>Hospitality</v>
      </c>
      <c r="F156" t="s">
        <v>112</v>
      </c>
    </row>
    <row r="157" spans="1:6" x14ac:dyDescent="0.25">
      <c r="A157" t="s">
        <v>104</v>
      </c>
      <c r="B157" t="s">
        <v>104</v>
      </c>
      <c r="C157">
        <v>0.16</v>
      </c>
      <c r="D157" t="s">
        <v>18</v>
      </c>
      <c r="E157" t="str">
        <f>VLOOKUP(D157,mappings!A:B,2,FALSE)</f>
        <v>Finance</v>
      </c>
      <c r="F157" t="s">
        <v>112</v>
      </c>
    </row>
    <row r="158" spans="1:6" x14ac:dyDescent="0.25">
      <c r="A158" t="s">
        <v>104</v>
      </c>
      <c r="B158" t="s">
        <v>104</v>
      </c>
      <c r="C158">
        <v>0.16</v>
      </c>
      <c r="D158" t="s">
        <v>86</v>
      </c>
      <c r="E158" t="str">
        <f>VLOOKUP(D158,mappings!A:B,2,FALSE)</f>
        <v>Finance</v>
      </c>
      <c r="F158" t="s">
        <v>112</v>
      </c>
    </row>
    <row r="159" spans="1:6" x14ac:dyDescent="0.25">
      <c r="A159" t="s">
        <v>104</v>
      </c>
      <c r="B159" t="s">
        <v>104</v>
      </c>
      <c r="C159">
        <v>0.16</v>
      </c>
      <c r="D159" t="s">
        <v>72</v>
      </c>
      <c r="E159" t="str">
        <f>VLOOKUP(D159,mappings!A:B,2,FALSE)</f>
        <v>STEM</v>
      </c>
      <c r="F159" t="s">
        <v>112</v>
      </c>
    </row>
    <row r="160" spans="1:6" x14ac:dyDescent="0.25">
      <c r="A160" t="s">
        <v>104</v>
      </c>
      <c r="B160" t="s">
        <v>104</v>
      </c>
      <c r="C160">
        <v>0.16</v>
      </c>
      <c r="D160" t="s">
        <v>50</v>
      </c>
      <c r="E160" t="str">
        <f>VLOOKUP(D160,mappings!A:B,2,FALSE)</f>
        <v>Education</v>
      </c>
      <c r="F160" t="s">
        <v>112</v>
      </c>
    </row>
    <row r="161" spans="1:6" x14ac:dyDescent="0.25">
      <c r="A161" t="s">
        <v>104</v>
      </c>
      <c r="B161" t="s">
        <v>104</v>
      </c>
      <c r="C161">
        <v>0.16</v>
      </c>
      <c r="D161" t="s">
        <v>58</v>
      </c>
      <c r="E161" t="str">
        <f>VLOOKUP(D161,mappings!A:B,2,FALSE)</f>
        <v>Education</v>
      </c>
      <c r="F161" t="s">
        <v>112</v>
      </c>
    </row>
    <row r="162" spans="1:6" x14ac:dyDescent="0.25">
      <c r="A162" t="s">
        <v>104</v>
      </c>
      <c r="B162" t="s">
        <v>104</v>
      </c>
      <c r="C162">
        <v>0.16</v>
      </c>
      <c r="D162" t="s">
        <v>74</v>
      </c>
      <c r="E162" t="str">
        <f>VLOOKUP(D162,mappings!A:B,2,FALSE)</f>
        <v>Healthcare</v>
      </c>
      <c r="F162" t="s">
        <v>112</v>
      </c>
    </row>
    <row r="163" spans="1:6" x14ac:dyDescent="0.25">
      <c r="A163" t="s">
        <v>104</v>
      </c>
      <c r="B163" t="s">
        <v>104</v>
      </c>
      <c r="C163">
        <v>0.16</v>
      </c>
      <c r="D163" t="s">
        <v>53</v>
      </c>
      <c r="E163" t="str">
        <f>VLOOKUP(D163,mappings!A:B,2,FALSE)</f>
        <v>Healthcare</v>
      </c>
      <c r="F163" t="s">
        <v>112</v>
      </c>
    </row>
    <row r="164" spans="1:6" x14ac:dyDescent="0.25">
      <c r="A164" t="s">
        <v>104</v>
      </c>
      <c r="B164" t="s">
        <v>104</v>
      </c>
      <c r="C164">
        <v>0.16</v>
      </c>
      <c r="D164" t="s">
        <v>91</v>
      </c>
      <c r="E164" t="str">
        <f>VLOOKUP(D164,mappings!A:B,2,FALSE)</f>
        <v>Finance</v>
      </c>
      <c r="F164" t="s">
        <v>112</v>
      </c>
    </row>
    <row r="165" spans="1:6" x14ac:dyDescent="0.25">
      <c r="A165" t="s">
        <v>104</v>
      </c>
      <c r="B165" t="s">
        <v>104</v>
      </c>
      <c r="C165">
        <v>0.15</v>
      </c>
      <c r="D165" t="s">
        <v>6</v>
      </c>
      <c r="E165" t="str">
        <f>VLOOKUP(D165,mappings!A:B,2,FALSE)</f>
        <v>Hospitality</v>
      </c>
      <c r="F165" t="s">
        <v>112</v>
      </c>
    </row>
    <row r="166" spans="1:6" x14ac:dyDescent="0.25">
      <c r="A166" t="s">
        <v>104</v>
      </c>
      <c r="B166" t="s">
        <v>104</v>
      </c>
      <c r="C166">
        <v>0.15</v>
      </c>
      <c r="D166" t="s">
        <v>62</v>
      </c>
      <c r="E166" t="str">
        <f>VLOOKUP(D166,mappings!A:B,2,FALSE)</f>
        <v>Marketing</v>
      </c>
      <c r="F166" t="s">
        <v>112</v>
      </c>
    </row>
    <row r="167" spans="1:6" x14ac:dyDescent="0.25">
      <c r="A167" t="s">
        <v>104</v>
      </c>
      <c r="B167" t="s">
        <v>104</v>
      </c>
      <c r="C167">
        <v>0.15</v>
      </c>
      <c r="D167" t="s">
        <v>55</v>
      </c>
      <c r="E167" t="str">
        <f>VLOOKUP(D167,mappings!A:B,2,FALSE)</f>
        <v>Human Resources</v>
      </c>
      <c r="F167" t="s">
        <v>112</v>
      </c>
    </row>
    <row r="168" spans="1:6" x14ac:dyDescent="0.25">
      <c r="A168" t="s">
        <v>104</v>
      </c>
      <c r="B168" t="s">
        <v>104</v>
      </c>
      <c r="C168">
        <v>0.15</v>
      </c>
      <c r="D168" t="s">
        <v>77</v>
      </c>
      <c r="E168" t="str">
        <f>VLOOKUP(D168,mappings!A:B,2,FALSE)</f>
        <v>Legal</v>
      </c>
      <c r="F168" t="s">
        <v>112</v>
      </c>
    </row>
    <row r="169" spans="1:6" x14ac:dyDescent="0.25">
      <c r="A169" t="s">
        <v>104</v>
      </c>
      <c r="B169" t="s">
        <v>104</v>
      </c>
      <c r="C169">
        <v>0.15</v>
      </c>
      <c r="D169" t="s">
        <v>45</v>
      </c>
      <c r="E169" t="str">
        <f>VLOOKUP(D169,mappings!A:B,2,FALSE)</f>
        <v>Administration</v>
      </c>
      <c r="F169" t="s">
        <v>112</v>
      </c>
    </row>
    <row r="170" spans="1:6" x14ac:dyDescent="0.25">
      <c r="A170" t="s">
        <v>104</v>
      </c>
      <c r="B170" t="s">
        <v>104</v>
      </c>
      <c r="C170">
        <v>0.15</v>
      </c>
      <c r="D170" t="s">
        <v>64</v>
      </c>
      <c r="E170" t="str">
        <f>VLOOKUP(D170,mappings!A:B,2,FALSE)</f>
        <v>STEM</v>
      </c>
      <c r="F170" t="s">
        <v>112</v>
      </c>
    </row>
    <row r="171" spans="1:6" x14ac:dyDescent="0.25">
      <c r="A171" t="s">
        <v>104</v>
      </c>
      <c r="B171" t="s">
        <v>104</v>
      </c>
      <c r="C171">
        <v>0.15</v>
      </c>
      <c r="D171" t="s">
        <v>92</v>
      </c>
      <c r="E171" t="str">
        <f>VLOOKUP(D171,mappings!A:B,2,FALSE)</f>
        <v>Management</v>
      </c>
      <c r="F171" t="s">
        <v>112</v>
      </c>
    </row>
    <row r="172" spans="1:6" x14ac:dyDescent="0.25">
      <c r="A172" t="s">
        <v>104</v>
      </c>
      <c r="B172" t="s">
        <v>104</v>
      </c>
      <c r="C172">
        <v>0.15</v>
      </c>
      <c r="D172" t="s">
        <v>95</v>
      </c>
      <c r="E172" t="str">
        <f>VLOOKUP(D172,mappings!A:B,2,FALSE)</f>
        <v>STEM</v>
      </c>
      <c r="F172" t="s">
        <v>112</v>
      </c>
    </row>
    <row r="173" spans="1:6" x14ac:dyDescent="0.25">
      <c r="A173" t="s">
        <v>104</v>
      </c>
      <c r="B173" t="s">
        <v>104</v>
      </c>
      <c r="C173">
        <v>0.15</v>
      </c>
      <c r="D173" t="s">
        <v>94</v>
      </c>
      <c r="E173" t="str">
        <f>VLOOKUP(D173,mappings!A:B,2,FALSE)</f>
        <v>Management</v>
      </c>
      <c r="F173" t="s">
        <v>112</v>
      </c>
    </row>
    <row r="174" spans="1:6" x14ac:dyDescent="0.25">
      <c r="A174" t="s">
        <v>104</v>
      </c>
      <c r="B174" t="s">
        <v>104</v>
      </c>
      <c r="C174">
        <v>0.15</v>
      </c>
      <c r="D174" t="s">
        <v>48</v>
      </c>
      <c r="E174" t="str">
        <f>VLOOKUP(D174,mappings!A:B,2,FALSE)</f>
        <v>STEM</v>
      </c>
      <c r="F174" t="s">
        <v>112</v>
      </c>
    </row>
    <row r="175" spans="1:6" x14ac:dyDescent="0.25">
      <c r="A175" t="s">
        <v>104</v>
      </c>
      <c r="B175" t="s">
        <v>104</v>
      </c>
      <c r="C175">
        <v>0.15</v>
      </c>
      <c r="D175" t="s">
        <v>56</v>
      </c>
      <c r="E175" t="str">
        <f>VLOOKUP(D175,mappings!A:B,2,FALSE)</f>
        <v>STEM</v>
      </c>
      <c r="F175" t="s">
        <v>112</v>
      </c>
    </row>
    <row r="176" spans="1:6" x14ac:dyDescent="0.25">
      <c r="A176" t="s">
        <v>104</v>
      </c>
      <c r="B176" t="s">
        <v>104</v>
      </c>
      <c r="C176">
        <v>0.15</v>
      </c>
      <c r="D176" t="s">
        <v>51</v>
      </c>
      <c r="E176" t="str">
        <f>VLOOKUP(D176,mappings!A:B,2,FALSE)</f>
        <v>Healthcare</v>
      </c>
      <c r="F176" t="s">
        <v>112</v>
      </c>
    </row>
    <row r="177" spans="1:6" x14ac:dyDescent="0.25">
      <c r="A177" t="s">
        <v>104</v>
      </c>
      <c r="B177" t="s">
        <v>104</v>
      </c>
      <c r="C177">
        <v>0.15</v>
      </c>
      <c r="D177" t="s">
        <v>82</v>
      </c>
      <c r="E177" t="str">
        <f>VLOOKUP(D177,mappings!A:B,2,FALSE)</f>
        <v>STEM</v>
      </c>
      <c r="F177" t="s">
        <v>112</v>
      </c>
    </row>
    <row r="178" spans="1:6" x14ac:dyDescent="0.25">
      <c r="A178" t="s">
        <v>104</v>
      </c>
      <c r="B178" t="s">
        <v>104</v>
      </c>
      <c r="C178">
        <v>0.15</v>
      </c>
      <c r="D178" t="s">
        <v>73</v>
      </c>
      <c r="E178" t="str">
        <f>VLOOKUP(D178,mappings!A:B,2,FALSE)</f>
        <v>Finance</v>
      </c>
      <c r="F178" t="s">
        <v>112</v>
      </c>
    </row>
    <row r="179" spans="1:6" x14ac:dyDescent="0.25">
      <c r="A179" t="s">
        <v>104</v>
      </c>
      <c r="B179" t="s">
        <v>104</v>
      </c>
      <c r="C179">
        <v>0.15</v>
      </c>
      <c r="D179" t="s">
        <v>96</v>
      </c>
      <c r="E179" t="str">
        <f>VLOOKUP(D179,mappings!A:B,2,FALSE)</f>
        <v>Sales</v>
      </c>
      <c r="F179" t="s">
        <v>112</v>
      </c>
    </row>
    <row r="180" spans="1:6" x14ac:dyDescent="0.25">
      <c r="A180" t="s">
        <v>104</v>
      </c>
      <c r="B180" t="s">
        <v>104</v>
      </c>
      <c r="C180">
        <v>0.14000000000000001</v>
      </c>
      <c r="D180" t="s">
        <v>36</v>
      </c>
      <c r="E180" t="str">
        <f>VLOOKUP(D180,mappings!A:B,2,FALSE)</f>
        <v>Healthcare</v>
      </c>
      <c r="F180" t="s">
        <v>112</v>
      </c>
    </row>
    <row r="181" spans="1:6" x14ac:dyDescent="0.25">
      <c r="A181" t="s">
        <v>104</v>
      </c>
      <c r="B181" t="s">
        <v>104</v>
      </c>
      <c r="C181">
        <v>0.14000000000000001</v>
      </c>
      <c r="D181" t="s">
        <v>61</v>
      </c>
      <c r="E181" t="str">
        <f>VLOOKUP(D181,mappings!A:B,2,FALSE)</f>
        <v>STEM</v>
      </c>
      <c r="F181" t="s">
        <v>112</v>
      </c>
    </row>
    <row r="182" spans="1:6" x14ac:dyDescent="0.25">
      <c r="A182" t="s">
        <v>104</v>
      </c>
      <c r="B182" t="s">
        <v>104</v>
      </c>
      <c r="C182">
        <v>0.14000000000000001</v>
      </c>
      <c r="D182" t="s">
        <v>63</v>
      </c>
      <c r="E182" t="str">
        <f>VLOOKUP(D182,mappings!A:B,2,FALSE)</f>
        <v>Finance</v>
      </c>
      <c r="F182" t="s">
        <v>112</v>
      </c>
    </row>
    <row r="183" spans="1:6" x14ac:dyDescent="0.25">
      <c r="A183" t="s">
        <v>104</v>
      </c>
      <c r="B183" t="s">
        <v>104</v>
      </c>
      <c r="C183">
        <v>0.14000000000000001</v>
      </c>
      <c r="D183" t="s">
        <v>100</v>
      </c>
      <c r="E183" t="str">
        <f>VLOOKUP(D183,mappings!A:B,2,FALSE)</f>
        <v>Management</v>
      </c>
      <c r="F183" t="s">
        <v>112</v>
      </c>
    </row>
    <row r="184" spans="1:6" x14ac:dyDescent="0.25">
      <c r="A184" t="s">
        <v>104</v>
      </c>
      <c r="B184" t="s">
        <v>104</v>
      </c>
      <c r="C184">
        <v>0.14000000000000001</v>
      </c>
      <c r="D184" t="s">
        <v>59</v>
      </c>
      <c r="E184" t="str">
        <f>VLOOKUP(D184,mappings!A:B,2,FALSE)</f>
        <v>Real Estate</v>
      </c>
      <c r="F184" t="s">
        <v>112</v>
      </c>
    </row>
    <row r="185" spans="1:6" x14ac:dyDescent="0.25">
      <c r="A185" t="s">
        <v>104</v>
      </c>
      <c r="B185" t="s">
        <v>104</v>
      </c>
      <c r="C185">
        <v>0.14000000000000001</v>
      </c>
      <c r="D185" t="s">
        <v>80</v>
      </c>
      <c r="E185" t="str">
        <f>VLOOKUP(D185,mappings!A:B,2,FALSE)</f>
        <v>Hospitality</v>
      </c>
      <c r="F185" t="s">
        <v>112</v>
      </c>
    </row>
    <row r="186" spans="1:6" x14ac:dyDescent="0.25">
      <c r="A186" t="s">
        <v>104</v>
      </c>
      <c r="B186" t="s">
        <v>104</v>
      </c>
      <c r="C186">
        <v>0.14000000000000001</v>
      </c>
      <c r="D186" t="s">
        <v>67</v>
      </c>
      <c r="E186" t="str">
        <f>VLOOKUP(D186,mappings!A:B,2,FALSE)</f>
        <v>Finance</v>
      </c>
      <c r="F186" t="s">
        <v>112</v>
      </c>
    </row>
    <row r="187" spans="1:6" x14ac:dyDescent="0.25">
      <c r="A187" t="s">
        <v>104</v>
      </c>
      <c r="B187" t="s">
        <v>104</v>
      </c>
      <c r="C187">
        <v>0.14000000000000001</v>
      </c>
      <c r="D187" t="s">
        <v>75</v>
      </c>
      <c r="E187" t="str">
        <f>VLOOKUP(D187,mappings!A:B,2,FALSE)</f>
        <v>STEM</v>
      </c>
      <c r="F187" t="s">
        <v>112</v>
      </c>
    </row>
    <row r="188" spans="1:6" x14ac:dyDescent="0.25">
      <c r="A188" t="s">
        <v>104</v>
      </c>
      <c r="B188" t="s">
        <v>104</v>
      </c>
      <c r="C188">
        <v>0.14000000000000001</v>
      </c>
      <c r="D188" t="s">
        <v>83</v>
      </c>
      <c r="E188" t="str">
        <f>VLOOKUP(D188,mappings!A:B,2,FALSE)</f>
        <v>Sales</v>
      </c>
      <c r="F188" t="s">
        <v>112</v>
      </c>
    </row>
    <row r="189" spans="1:6" x14ac:dyDescent="0.25">
      <c r="A189" t="s">
        <v>104</v>
      </c>
      <c r="B189" t="s">
        <v>104</v>
      </c>
      <c r="C189">
        <v>0.13</v>
      </c>
      <c r="D189" t="s">
        <v>99</v>
      </c>
      <c r="E189" t="str">
        <f>VLOOKUP(D189,mappings!A:B,2,FALSE)</f>
        <v>Operations</v>
      </c>
      <c r="F189" t="s">
        <v>112</v>
      </c>
    </row>
    <row r="190" spans="1:6" x14ac:dyDescent="0.25">
      <c r="A190" t="s">
        <v>104</v>
      </c>
      <c r="B190" t="s">
        <v>104</v>
      </c>
      <c r="C190">
        <v>0.13</v>
      </c>
      <c r="D190" t="s">
        <v>101</v>
      </c>
      <c r="E190" t="str">
        <f>VLOOKUP(D190,mappings!A:B,2,FALSE)</f>
        <v>Healthcare</v>
      </c>
      <c r="F190" t="s">
        <v>112</v>
      </c>
    </row>
    <row r="191" spans="1:6" x14ac:dyDescent="0.25">
      <c r="A191" t="s">
        <v>104</v>
      </c>
      <c r="B191" t="s">
        <v>104</v>
      </c>
      <c r="C191">
        <v>0.13</v>
      </c>
      <c r="D191" t="s">
        <v>70</v>
      </c>
      <c r="E191" t="str">
        <f>VLOOKUP(D191,mappings!A:B,2,FALSE)</f>
        <v>Operations</v>
      </c>
      <c r="F191" t="s">
        <v>112</v>
      </c>
    </row>
    <row r="192" spans="1:6" x14ac:dyDescent="0.25">
      <c r="A192" t="s">
        <v>104</v>
      </c>
      <c r="B192" t="s">
        <v>104</v>
      </c>
      <c r="C192">
        <v>0.13</v>
      </c>
      <c r="D192" t="s">
        <v>81</v>
      </c>
      <c r="E192" t="str">
        <f>VLOOKUP(D192,mappings!A:B,2,FALSE)</f>
        <v>Legal</v>
      </c>
      <c r="F192" t="s">
        <v>112</v>
      </c>
    </row>
    <row r="193" spans="1:6" x14ac:dyDescent="0.25">
      <c r="A193" t="s">
        <v>104</v>
      </c>
      <c r="B193" t="s">
        <v>104</v>
      </c>
      <c r="C193">
        <v>0.12</v>
      </c>
      <c r="D193" t="s">
        <v>60</v>
      </c>
      <c r="E193" t="str">
        <f>VLOOKUP(D193,mappings!A:B,2,FALSE)</f>
        <v>Finance</v>
      </c>
      <c r="F193" t="s">
        <v>112</v>
      </c>
    </row>
    <row r="194" spans="1:6" x14ac:dyDescent="0.25">
      <c r="A194" t="s">
        <v>104</v>
      </c>
      <c r="B194" t="s">
        <v>104</v>
      </c>
      <c r="C194">
        <v>0.12</v>
      </c>
      <c r="D194" t="s">
        <v>88</v>
      </c>
      <c r="E194" t="str">
        <f>VLOOKUP(D194,mappings!A:B,2,FALSE)</f>
        <v>Healthcare</v>
      </c>
      <c r="F194" t="s">
        <v>112</v>
      </c>
    </row>
    <row r="195" spans="1:6" x14ac:dyDescent="0.25">
      <c r="A195" t="s">
        <v>104</v>
      </c>
      <c r="B195" t="s">
        <v>104</v>
      </c>
      <c r="C195">
        <v>0.12</v>
      </c>
      <c r="D195" t="s">
        <v>98</v>
      </c>
      <c r="E195" t="str">
        <f>VLOOKUP(D195,mappings!A:B,2,FALSE)</f>
        <v>STEM</v>
      </c>
      <c r="F195" t="s">
        <v>112</v>
      </c>
    </row>
    <row r="196" spans="1:6" x14ac:dyDescent="0.25">
      <c r="A196" t="s">
        <v>104</v>
      </c>
      <c r="B196" t="s">
        <v>104</v>
      </c>
      <c r="C196">
        <v>0.12</v>
      </c>
      <c r="D196" t="s">
        <v>93</v>
      </c>
      <c r="E196" t="str">
        <f>VLOOKUP(D196,mappings!A:B,2,FALSE)</f>
        <v>Legal</v>
      </c>
      <c r="F196" t="s">
        <v>112</v>
      </c>
    </row>
    <row r="197" spans="1:6" x14ac:dyDescent="0.25">
      <c r="A197" t="s">
        <v>104</v>
      </c>
      <c r="B197" t="s">
        <v>104</v>
      </c>
      <c r="C197">
        <v>0.11</v>
      </c>
      <c r="D197" t="s">
        <v>90</v>
      </c>
      <c r="E197" t="str">
        <f>VLOOKUP(D197,mappings!A:B,2,FALSE)</f>
        <v>Marketing</v>
      </c>
      <c r="F197" t="s">
        <v>112</v>
      </c>
    </row>
    <row r="198" spans="1:6" x14ac:dyDescent="0.25">
      <c r="A198" t="s">
        <v>104</v>
      </c>
      <c r="B198" t="s">
        <v>104</v>
      </c>
      <c r="C198">
        <v>0.11</v>
      </c>
      <c r="D198" t="s">
        <v>97</v>
      </c>
      <c r="E198" t="str">
        <f>VLOOKUP(D198,mappings!A:B,2,FALSE)</f>
        <v>STEM</v>
      </c>
      <c r="F198" t="s">
        <v>112</v>
      </c>
    </row>
    <row r="199" spans="1:6" x14ac:dyDescent="0.25">
      <c r="A199" t="s">
        <v>104</v>
      </c>
      <c r="B199" t="s">
        <v>104</v>
      </c>
      <c r="C199">
        <v>0.11</v>
      </c>
      <c r="D199" t="s">
        <v>103</v>
      </c>
      <c r="E199" t="str">
        <f>VLOOKUP(D199,mappings!A:B,2,FALSE)</f>
        <v>Healthcare</v>
      </c>
      <c r="F199" t="s">
        <v>112</v>
      </c>
    </row>
    <row r="200" spans="1:6" x14ac:dyDescent="0.25">
      <c r="A200" t="s">
        <v>104</v>
      </c>
      <c r="B200" t="s">
        <v>104</v>
      </c>
      <c r="C200">
        <v>0.1</v>
      </c>
      <c r="D200" t="s">
        <v>102</v>
      </c>
      <c r="E200" t="str">
        <f>VLOOKUP(D200,mappings!A:B,2,FALSE)</f>
        <v>Operations</v>
      </c>
      <c r="F200" t="s">
        <v>112</v>
      </c>
    </row>
    <row r="201" spans="1:6" x14ac:dyDescent="0.25">
      <c r="A201" t="s">
        <v>104</v>
      </c>
      <c r="B201" t="s">
        <v>104</v>
      </c>
      <c r="C201">
        <v>0.09</v>
      </c>
      <c r="D201" t="s">
        <v>89</v>
      </c>
      <c r="E201" t="str">
        <f>VLOOKUP(D201,mappings!A:B,2,FALSE)</f>
        <v>Finance</v>
      </c>
      <c r="F201" t="s">
        <v>112</v>
      </c>
    </row>
    <row r="202" spans="1:6" x14ac:dyDescent="0.25">
      <c r="A202" t="s">
        <v>3</v>
      </c>
      <c r="B202" t="s">
        <v>105</v>
      </c>
      <c r="C202">
        <v>0.28999999999999998</v>
      </c>
      <c r="D202" t="s">
        <v>4</v>
      </c>
      <c r="E202" t="str">
        <f>VLOOKUP(D202,mappings!A:B,2,FALSE)</f>
        <v>Creative</v>
      </c>
      <c r="F202" t="s">
        <v>112</v>
      </c>
    </row>
    <row r="203" spans="1:6" x14ac:dyDescent="0.25">
      <c r="A203" t="s">
        <v>3</v>
      </c>
      <c r="B203" t="s">
        <v>105</v>
      </c>
      <c r="C203">
        <v>0.28999999999999998</v>
      </c>
      <c r="D203" t="s">
        <v>5</v>
      </c>
      <c r="E203" t="str">
        <f>VLOOKUP(D203,mappings!A:B,2,FALSE)</f>
        <v>Hospitality</v>
      </c>
      <c r="F203" t="s">
        <v>112</v>
      </c>
    </row>
    <row r="204" spans="1:6" x14ac:dyDescent="0.25">
      <c r="A204" t="s">
        <v>3</v>
      </c>
      <c r="B204" t="s">
        <v>105</v>
      </c>
      <c r="C204">
        <v>0.27</v>
      </c>
      <c r="D204" t="s">
        <v>13</v>
      </c>
      <c r="E204" t="str">
        <f>VLOOKUP(D204,mappings!A:B,2,FALSE)</f>
        <v>Administration</v>
      </c>
      <c r="F204" t="s">
        <v>112</v>
      </c>
    </row>
    <row r="205" spans="1:6" x14ac:dyDescent="0.25">
      <c r="A205" t="s">
        <v>3</v>
      </c>
      <c r="B205" t="s">
        <v>105</v>
      </c>
      <c r="C205">
        <v>0.27</v>
      </c>
      <c r="D205" t="s">
        <v>27</v>
      </c>
      <c r="E205" t="str">
        <f>VLOOKUP(D205,mappings!A:B,2,FALSE)</f>
        <v>Management</v>
      </c>
      <c r="F205" t="s">
        <v>112</v>
      </c>
    </row>
    <row r="206" spans="1:6" x14ac:dyDescent="0.25">
      <c r="A206" t="s">
        <v>3</v>
      </c>
      <c r="B206" t="s">
        <v>105</v>
      </c>
      <c r="C206">
        <v>0.26</v>
      </c>
      <c r="D206" t="s">
        <v>17</v>
      </c>
      <c r="E206" t="str">
        <f>VLOOKUP(D206,mappings!A:B,2,FALSE)</f>
        <v>Sales</v>
      </c>
      <c r="F206" t="s">
        <v>112</v>
      </c>
    </row>
    <row r="207" spans="1:6" x14ac:dyDescent="0.25">
      <c r="A207" t="s">
        <v>3</v>
      </c>
      <c r="B207" t="s">
        <v>105</v>
      </c>
      <c r="C207">
        <v>0.26</v>
      </c>
      <c r="D207" t="s">
        <v>7</v>
      </c>
      <c r="E207" t="str">
        <f>VLOOKUP(D207,mappings!A:B,2,FALSE)</f>
        <v>Legal</v>
      </c>
      <c r="F207" t="s">
        <v>112</v>
      </c>
    </row>
    <row r="208" spans="1:6" x14ac:dyDescent="0.25">
      <c r="A208" t="s">
        <v>3</v>
      </c>
      <c r="B208" t="s">
        <v>105</v>
      </c>
      <c r="C208">
        <v>0.26</v>
      </c>
      <c r="D208" t="s">
        <v>14</v>
      </c>
      <c r="E208" t="str">
        <f>VLOOKUP(D208,mappings!A:B,2,FALSE)</f>
        <v>Creative</v>
      </c>
      <c r="F208" t="s">
        <v>112</v>
      </c>
    </row>
    <row r="209" spans="1:6" x14ac:dyDescent="0.25">
      <c r="A209" t="s">
        <v>3</v>
      </c>
      <c r="B209" t="s">
        <v>105</v>
      </c>
      <c r="C209">
        <v>0.25</v>
      </c>
      <c r="D209" t="s">
        <v>24</v>
      </c>
      <c r="E209" t="str">
        <f>VLOOKUP(D209,mappings!A:B,2,FALSE)</f>
        <v>Education</v>
      </c>
      <c r="F209" t="s">
        <v>112</v>
      </c>
    </row>
    <row r="210" spans="1:6" x14ac:dyDescent="0.25">
      <c r="A210" t="s">
        <v>3</v>
      </c>
      <c r="B210" t="s">
        <v>105</v>
      </c>
      <c r="C210">
        <v>0.24</v>
      </c>
      <c r="D210" t="s">
        <v>23</v>
      </c>
      <c r="E210" t="str">
        <f>VLOOKUP(D210,mappings!A:B,2,FALSE)</f>
        <v>Creative</v>
      </c>
      <c r="F210" t="s">
        <v>112</v>
      </c>
    </row>
    <row r="211" spans="1:6" x14ac:dyDescent="0.25">
      <c r="A211" t="s">
        <v>3</v>
      </c>
      <c r="B211" t="s">
        <v>105</v>
      </c>
      <c r="C211">
        <v>0.24</v>
      </c>
      <c r="D211" t="s">
        <v>25</v>
      </c>
      <c r="E211" t="str">
        <f>VLOOKUP(D211,mappings!A:B,2,FALSE)</f>
        <v>Creative</v>
      </c>
      <c r="F211" t="s">
        <v>112</v>
      </c>
    </row>
    <row r="212" spans="1:6" x14ac:dyDescent="0.25">
      <c r="A212" t="s">
        <v>3</v>
      </c>
      <c r="B212" t="s">
        <v>105</v>
      </c>
      <c r="C212">
        <v>0.24</v>
      </c>
      <c r="D212" t="s">
        <v>98</v>
      </c>
      <c r="E212" t="str">
        <f>VLOOKUP(D212,mappings!A:B,2,FALSE)</f>
        <v>STEM</v>
      </c>
      <c r="F212" t="s">
        <v>112</v>
      </c>
    </row>
    <row r="213" spans="1:6" x14ac:dyDescent="0.25">
      <c r="A213" t="s">
        <v>3</v>
      </c>
      <c r="B213" t="s">
        <v>105</v>
      </c>
      <c r="C213">
        <v>0.24</v>
      </c>
      <c r="D213" t="s">
        <v>36</v>
      </c>
      <c r="E213" t="str">
        <f>VLOOKUP(D213,mappings!A:B,2,FALSE)</f>
        <v>Healthcare</v>
      </c>
      <c r="F213" t="s">
        <v>112</v>
      </c>
    </row>
    <row r="214" spans="1:6" x14ac:dyDescent="0.25">
      <c r="A214" t="s">
        <v>3</v>
      </c>
      <c r="B214" t="s">
        <v>105</v>
      </c>
      <c r="C214">
        <v>0.24</v>
      </c>
      <c r="D214" t="s">
        <v>58</v>
      </c>
      <c r="E214" t="str">
        <f>VLOOKUP(D214,mappings!A:B,2,FALSE)</f>
        <v>Education</v>
      </c>
      <c r="F214" t="s">
        <v>112</v>
      </c>
    </row>
    <row r="215" spans="1:6" x14ac:dyDescent="0.25">
      <c r="A215" t="s">
        <v>3</v>
      </c>
      <c r="B215" t="s">
        <v>105</v>
      </c>
      <c r="C215">
        <v>0.24</v>
      </c>
      <c r="D215" t="s">
        <v>9</v>
      </c>
      <c r="E215" t="str">
        <f>VLOOKUP(D215,mappings!A:B,2,FALSE)</f>
        <v>Education</v>
      </c>
      <c r="F215" t="s">
        <v>112</v>
      </c>
    </row>
    <row r="216" spans="1:6" x14ac:dyDescent="0.25">
      <c r="A216" t="s">
        <v>3</v>
      </c>
      <c r="B216" t="s">
        <v>105</v>
      </c>
      <c r="C216">
        <v>0.23</v>
      </c>
      <c r="D216" t="s">
        <v>33</v>
      </c>
      <c r="E216" t="str">
        <f>VLOOKUP(D216,mappings!A:B,2,FALSE)</f>
        <v>Education</v>
      </c>
      <c r="F216" t="s">
        <v>112</v>
      </c>
    </row>
    <row r="217" spans="1:6" x14ac:dyDescent="0.25">
      <c r="A217" t="s">
        <v>3</v>
      </c>
      <c r="B217" t="s">
        <v>105</v>
      </c>
      <c r="C217">
        <v>0.23</v>
      </c>
      <c r="D217" t="s">
        <v>50</v>
      </c>
      <c r="E217" t="str">
        <f>VLOOKUP(D217,mappings!A:B,2,FALSE)</f>
        <v>Education</v>
      </c>
      <c r="F217" t="s">
        <v>112</v>
      </c>
    </row>
    <row r="218" spans="1:6" x14ac:dyDescent="0.25">
      <c r="A218" t="s">
        <v>3</v>
      </c>
      <c r="B218" t="s">
        <v>105</v>
      </c>
      <c r="C218">
        <v>0.23</v>
      </c>
      <c r="D218" t="s">
        <v>11</v>
      </c>
      <c r="E218" t="str">
        <f>VLOOKUP(D218,mappings!A:B,2,FALSE)</f>
        <v>Human Resources</v>
      </c>
      <c r="F218" t="s">
        <v>112</v>
      </c>
    </row>
    <row r="219" spans="1:6" x14ac:dyDescent="0.25">
      <c r="A219" t="s">
        <v>3</v>
      </c>
      <c r="B219" t="s">
        <v>105</v>
      </c>
      <c r="C219">
        <v>0.23</v>
      </c>
      <c r="D219" t="s">
        <v>62</v>
      </c>
      <c r="E219" t="str">
        <f>VLOOKUP(D219,mappings!A:B,2,FALSE)</f>
        <v>Marketing</v>
      </c>
      <c r="F219" t="s">
        <v>112</v>
      </c>
    </row>
    <row r="220" spans="1:6" x14ac:dyDescent="0.25">
      <c r="A220" t="s">
        <v>3</v>
      </c>
      <c r="B220" t="s">
        <v>105</v>
      </c>
      <c r="C220">
        <v>0.22</v>
      </c>
      <c r="D220" t="s">
        <v>85</v>
      </c>
      <c r="E220" t="str">
        <f>VLOOKUP(D220,mappings!A:B,2,FALSE)</f>
        <v>STEM</v>
      </c>
      <c r="F220" t="s">
        <v>112</v>
      </c>
    </row>
    <row r="221" spans="1:6" x14ac:dyDescent="0.25">
      <c r="A221" t="s">
        <v>3</v>
      </c>
      <c r="B221" t="s">
        <v>105</v>
      </c>
      <c r="C221">
        <v>0.22</v>
      </c>
      <c r="D221" t="s">
        <v>45</v>
      </c>
      <c r="E221" t="str">
        <f>VLOOKUP(D221,mappings!A:B,2,FALSE)</f>
        <v>Administration</v>
      </c>
      <c r="F221" t="s">
        <v>112</v>
      </c>
    </row>
    <row r="222" spans="1:6" x14ac:dyDescent="0.25">
      <c r="A222" t="s">
        <v>3</v>
      </c>
      <c r="B222" t="s">
        <v>105</v>
      </c>
      <c r="C222">
        <v>0.22</v>
      </c>
      <c r="D222" t="s">
        <v>60</v>
      </c>
      <c r="E222" t="str">
        <f>VLOOKUP(D222,mappings!A:B,2,FALSE)</f>
        <v>Finance</v>
      </c>
      <c r="F222" t="s">
        <v>112</v>
      </c>
    </row>
    <row r="223" spans="1:6" x14ac:dyDescent="0.25">
      <c r="A223" t="s">
        <v>3</v>
      </c>
      <c r="B223" t="s">
        <v>105</v>
      </c>
      <c r="C223">
        <v>0.21</v>
      </c>
      <c r="D223" t="s">
        <v>32</v>
      </c>
      <c r="E223" t="str">
        <f>VLOOKUP(D223,mappings!A:B,2,FALSE)</f>
        <v>Human Resources</v>
      </c>
      <c r="F223" t="s">
        <v>112</v>
      </c>
    </row>
    <row r="224" spans="1:6" x14ac:dyDescent="0.25">
      <c r="A224" t="s">
        <v>3</v>
      </c>
      <c r="B224" t="s">
        <v>105</v>
      </c>
      <c r="C224">
        <v>0.21</v>
      </c>
      <c r="D224" t="s">
        <v>43</v>
      </c>
      <c r="E224" t="str">
        <f>VLOOKUP(D224,mappings!A:B,2,FALSE)</f>
        <v>Management</v>
      </c>
      <c r="F224" t="s">
        <v>112</v>
      </c>
    </row>
    <row r="225" spans="1:6" x14ac:dyDescent="0.25">
      <c r="A225" t="s">
        <v>3</v>
      </c>
      <c r="B225" t="s">
        <v>105</v>
      </c>
      <c r="C225">
        <v>0.21</v>
      </c>
      <c r="D225" t="s">
        <v>16</v>
      </c>
      <c r="E225" t="str">
        <f>VLOOKUP(D225,mappings!A:B,2,FALSE)</f>
        <v>Finance</v>
      </c>
      <c r="F225" t="s">
        <v>112</v>
      </c>
    </row>
    <row r="226" spans="1:6" x14ac:dyDescent="0.25">
      <c r="A226" t="s">
        <v>3</v>
      </c>
      <c r="B226" t="s">
        <v>105</v>
      </c>
      <c r="C226">
        <v>0.21</v>
      </c>
      <c r="D226" t="s">
        <v>30</v>
      </c>
      <c r="E226" t="str">
        <f>VLOOKUP(D226,mappings!A:B,2,FALSE)</f>
        <v>STEM</v>
      </c>
      <c r="F226" t="s">
        <v>112</v>
      </c>
    </row>
    <row r="227" spans="1:6" x14ac:dyDescent="0.25">
      <c r="A227" t="s">
        <v>3</v>
      </c>
      <c r="B227" t="s">
        <v>105</v>
      </c>
      <c r="C227">
        <v>0.21</v>
      </c>
      <c r="D227" t="s">
        <v>40</v>
      </c>
      <c r="E227" t="str">
        <f>VLOOKUP(D227,mappings!A:B,2,FALSE)</f>
        <v>STEM</v>
      </c>
      <c r="F227" t="s">
        <v>112</v>
      </c>
    </row>
    <row r="228" spans="1:6" x14ac:dyDescent="0.25">
      <c r="A228" t="s">
        <v>3</v>
      </c>
      <c r="B228" t="s">
        <v>105</v>
      </c>
      <c r="C228">
        <v>0.21</v>
      </c>
      <c r="D228" t="s">
        <v>63</v>
      </c>
      <c r="E228" t="str">
        <f>VLOOKUP(D228,mappings!A:B,2,FALSE)</f>
        <v>Finance</v>
      </c>
      <c r="F228" t="s">
        <v>112</v>
      </c>
    </row>
    <row r="229" spans="1:6" x14ac:dyDescent="0.25">
      <c r="A229" t="s">
        <v>3</v>
      </c>
      <c r="B229" t="s">
        <v>105</v>
      </c>
      <c r="C229">
        <v>0.21</v>
      </c>
      <c r="D229" t="s">
        <v>28</v>
      </c>
      <c r="E229" t="str">
        <f>VLOOKUP(D229,mappings!A:B,2,FALSE)</f>
        <v>STEM</v>
      </c>
      <c r="F229" t="s">
        <v>112</v>
      </c>
    </row>
    <row r="230" spans="1:6" x14ac:dyDescent="0.25">
      <c r="A230" t="s">
        <v>3</v>
      </c>
      <c r="B230" t="s">
        <v>105</v>
      </c>
      <c r="C230">
        <v>0.21</v>
      </c>
      <c r="D230" t="s">
        <v>39</v>
      </c>
      <c r="E230" t="str">
        <f>VLOOKUP(D230,mappings!A:B,2,FALSE)</f>
        <v>Administration</v>
      </c>
      <c r="F230" t="s">
        <v>112</v>
      </c>
    </row>
    <row r="231" spans="1:6" x14ac:dyDescent="0.25">
      <c r="A231" t="s">
        <v>3</v>
      </c>
      <c r="B231" t="s">
        <v>105</v>
      </c>
      <c r="C231">
        <v>0.21</v>
      </c>
      <c r="D231" t="s">
        <v>49</v>
      </c>
      <c r="E231" t="str">
        <f>VLOOKUP(D231,mappings!A:B,2,FALSE)</f>
        <v>Healthcare</v>
      </c>
      <c r="F231" t="s">
        <v>112</v>
      </c>
    </row>
    <row r="232" spans="1:6" x14ac:dyDescent="0.25">
      <c r="A232" t="s">
        <v>3</v>
      </c>
      <c r="B232" t="s">
        <v>105</v>
      </c>
      <c r="C232">
        <v>0.21</v>
      </c>
      <c r="D232" t="s">
        <v>67</v>
      </c>
      <c r="E232" t="str">
        <f>VLOOKUP(D232,mappings!A:B,2,FALSE)</f>
        <v>Finance</v>
      </c>
      <c r="F232" t="s">
        <v>112</v>
      </c>
    </row>
    <row r="233" spans="1:6" x14ac:dyDescent="0.25">
      <c r="A233" t="s">
        <v>3</v>
      </c>
      <c r="B233" t="s">
        <v>105</v>
      </c>
      <c r="C233">
        <v>0.21</v>
      </c>
      <c r="D233" t="s">
        <v>89</v>
      </c>
      <c r="E233" t="str">
        <f>VLOOKUP(D233,mappings!A:B,2,FALSE)</f>
        <v>Finance</v>
      </c>
      <c r="F233" t="s">
        <v>112</v>
      </c>
    </row>
    <row r="234" spans="1:6" x14ac:dyDescent="0.25">
      <c r="A234" t="s">
        <v>3</v>
      </c>
      <c r="B234" t="s">
        <v>105</v>
      </c>
      <c r="C234">
        <v>0.21</v>
      </c>
      <c r="D234" t="s">
        <v>19</v>
      </c>
      <c r="E234" t="str">
        <f>VLOOKUP(D234,mappings!A:B,2,FALSE)</f>
        <v>Finance</v>
      </c>
      <c r="F234" t="s">
        <v>112</v>
      </c>
    </row>
    <row r="235" spans="1:6" x14ac:dyDescent="0.25">
      <c r="A235" t="s">
        <v>3</v>
      </c>
      <c r="B235" t="s">
        <v>105</v>
      </c>
      <c r="C235">
        <v>0.2</v>
      </c>
      <c r="D235" t="s">
        <v>51</v>
      </c>
      <c r="E235" t="str">
        <f>VLOOKUP(D235,mappings!A:B,2,FALSE)</f>
        <v>Healthcare</v>
      </c>
      <c r="F235" t="s">
        <v>112</v>
      </c>
    </row>
    <row r="236" spans="1:6" x14ac:dyDescent="0.25">
      <c r="A236" t="s">
        <v>3</v>
      </c>
      <c r="B236" t="s">
        <v>105</v>
      </c>
      <c r="C236">
        <v>0.2</v>
      </c>
      <c r="D236" t="s">
        <v>42</v>
      </c>
      <c r="E236" t="str">
        <f>VLOOKUP(D236,mappings!A:B,2,FALSE)</f>
        <v>Healthcare</v>
      </c>
      <c r="F236" t="s">
        <v>112</v>
      </c>
    </row>
    <row r="237" spans="1:6" x14ac:dyDescent="0.25">
      <c r="A237" t="s">
        <v>3</v>
      </c>
      <c r="B237" t="s">
        <v>105</v>
      </c>
      <c r="C237">
        <v>0.2</v>
      </c>
      <c r="D237" t="s">
        <v>29</v>
      </c>
      <c r="E237" t="str">
        <f>VLOOKUP(D237,mappings!A:B,2,FALSE)</f>
        <v>Creative</v>
      </c>
      <c r="F237" t="s">
        <v>112</v>
      </c>
    </row>
    <row r="238" spans="1:6" x14ac:dyDescent="0.25">
      <c r="A238" t="s">
        <v>3</v>
      </c>
      <c r="B238" t="s">
        <v>105</v>
      </c>
      <c r="C238">
        <v>0.2</v>
      </c>
      <c r="D238" t="s">
        <v>83</v>
      </c>
      <c r="E238" t="str">
        <f>VLOOKUP(D238,mappings!A:B,2,FALSE)</f>
        <v>Sales</v>
      </c>
      <c r="F238" t="s">
        <v>112</v>
      </c>
    </row>
    <row r="239" spans="1:6" x14ac:dyDescent="0.25">
      <c r="A239" t="s">
        <v>3</v>
      </c>
      <c r="B239" t="s">
        <v>105</v>
      </c>
      <c r="C239">
        <v>0.2</v>
      </c>
      <c r="D239" t="s">
        <v>101</v>
      </c>
      <c r="E239" t="str">
        <f>VLOOKUP(D239,mappings!A:B,2,FALSE)</f>
        <v>Healthcare</v>
      </c>
      <c r="F239" t="s">
        <v>112</v>
      </c>
    </row>
    <row r="240" spans="1:6" x14ac:dyDescent="0.25">
      <c r="A240" t="s">
        <v>3</v>
      </c>
      <c r="B240" t="s">
        <v>105</v>
      </c>
      <c r="C240">
        <v>0.2</v>
      </c>
      <c r="D240" t="s">
        <v>76</v>
      </c>
      <c r="E240" t="str">
        <f>VLOOKUP(D240,mappings!A:B,2,FALSE)</f>
        <v>Real Estate</v>
      </c>
      <c r="F240" t="s">
        <v>112</v>
      </c>
    </row>
    <row r="241" spans="1:6" x14ac:dyDescent="0.25">
      <c r="A241" t="s">
        <v>3</v>
      </c>
      <c r="B241" t="s">
        <v>105</v>
      </c>
      <c r="C241">
        <v>0.2</v>
      </c>
      <c r="D241" t="s">
        <v>37</v>
      </c>
      <c r="E241" t="str">
        <f>VLOOKUP(D241,mappings!A:B,2,FALSE)</f>
        <v>Marketing</v>
      </c>
      <c r="F241" t="s">
        <v>112</v>
      </c>
    </row>
    <row r="242" spans="1:6" x14ac:dyDescent="0.25">
      <c r="A242" t="s">
        <v>3</v>
      </c>
      <c r="B242" t="s">
        <v>105</v>
      </c>
      <c r="C242">
        <v>0.2</v>
      </c>
      <c r="D242" t="s">
        <v>47</v>
      </c>
      <c r="E242" t="str">
        <f>VLOOKUP(D242,mappings!A:B,2,FALSE)</f>
        <v>Legal</v>
      </c>
      <c r="F242" t="s">
        <v>112</v>
      </c>
    </row>
    <row r="243" spans="1:6" x14ac:dyDescent="0.25">
      <c r="A243" t="s">
        <v>3</v>
      </c>
      <c r="B243" t="s">
        <v>105</v>
      </c>
      <c r="C243">
        <v>0.2</v>
      </c>
      <c r="D243" t="s">
        <v>91</v>
      </c>
      <c r="E243" t="str">
        <f>VLOOKUP(D243,mappings!A:B,2,FALSE)</f>
        <v>Finance</v>
      </c>
      <c r="F243" t="s">
        <v>112</v>
      </c>
    </row>
    <row r="244" spans="1:6" x14ac:dyDescent="0.25">
      <c r="A244" t="s">
        <v>3</v>
      </c>
      <c r="B244" t="s">
        <v>105</v>
      </c>
      <c r="C244">
        <v>0.19</v>
      </c>
      <c r="D244" t="s">
        <v>68</v>
      </c>
      <c r="E244" t="str">
        <f>VLOOKUP(D244,mappings!A:B,2,FALSE)</f>
        <v>STEM</v>
      </c>
      <c r="F244" t="s">
        <v>112</v>
      </c>
    </row>
    <row r="245" spans="1:6" x14ac:dyDescent="0.25">
      <c r="A245" t="s">
        <v>3</v>
      </c>
      <c r="B245" t="s">
        <v>105</v>
      </c>
      <c r="C245">
        <v>0.19</v>
      </c>
      <c r="D245" t="s">
        <v>100</v>
      </c>
      <c r="E245" t="str">
        <f>VLOOKUP(D245,mappings!A:B,2,FALSE)</f>
        <v>Management</v>
      </c>
      <c r="F245" t="s">
        <v>112</v>
      </c>
    </row>
    <row r="246" spans="1:6" x14ac:dyDescent="0.25">
      <c r="A246" t="s">
        <v>3</v>
      </c>
      <c r="B246" t="s">
        <v>105</v>
      </c>
      <c r="C246">
        <v>0.19</v>
      </c>
      <c r="D246" t="s">
        <v>6</v>
      </c>
      <c r="E246" t="str">
        <f>VLOOKUP(D246,mappings!A:B,2,FALSE)</f>
        <v>Hospitality</v>
      </c>
      <c r="F246" t="s">
        <v>112</v>
      </c>
    </row>
    <row r="247" spans="1:6" x14ac:dyDescent="0.25">
      <c r="A247" t="s">
        <v>3</v>
      </c>
      <c r="B247" t="s">
        <v>105</v>
      </c>
      <c r="C247">
        <v>0.19</v>
      </c>
      <c r="D247" t="s">
        <v>53</v>
      </c>
      <c r="E247" t="str">
        <f>VLOOKUP(D247,mappings!A:B,2,FALSE)</f>
        <v>Healthcare</v>
      </c>
      <c r="F247" t="s">
        <v>112</v>
      </c>
    </row>
    <row r="248" spans="1:6" x14ac:dyDescent="0.25">
      <c r="A248" t="s">
        <v>3</v>
      </c>
      <c r="B248" t="s">
        <v>105</v>
      </c>
      <c r="C248">
        <v>0.19</v>
      </c>
      <c r="D248" t="s">
        <v>70</v>
      </c>
      <c r="E248" t="str">
        <f>VLOOKUP(D248,mappings!A:B,2,FALSE)</f>
        <v>Operations</v>
      </c>
      <c r="F248" t="s">
        <v>112</v>
      </c>
    </row>
    <row r="249" spans="1:6" x14ac:dyDescent="0.25">
      <c r="A249" t="s">
        <v>3</v>
      </c>
      <c r="B249" t="s">
        <v>105</v>
      </c>
      <c r="C249">
        <v>0.19</v>
      </c>
      <c r="D249" t="s">
        <v>10</v>
      </c>
      <c r="E249" t="str">
        <f>VLOOKUP(D249,mappings!A:B,2,FALSE)</f>
        <v>Healthcare</v>
      </c>
      <c r="F249" t="s">
        <v>112</v>
      </c>
    </row>
    <row r="250" spans="1:6" x14ac:dyDescent="0.25">
      <c r="A250" t="s">
        <v>3</v>
      </c>
      <c r="B250" t="s">
        <v>105</v>
      </c>
      <c r="C250">
        <v>0.19</v>
      </c>
      <c r="D250" t="s">
        <v>48</v>
      </c>
      <c r="E250" t="str">
        <f>VLOOKUP(D250,mappings!A:B,2,FALSE)</f>
        <v>STEM</v>
      </c>
      <c r="F250" t="s">
        <v>112</v>
      </c>
    </row>
    <row r="251" spans="1:6" x14ac:dyDescent="0.25">
      <c r="A251" t="s">
        <v>3</v>
      </c>
      <c r="B251" t="s">
        <v>105</v>
      </c>
      <c r="C251">
        <v>0.19</v>
      </c>
      <c r="D251" t="s">
        <v>31</v>
      </c>
      <c r="E251" t="str">
        <f>VLOOKUP(D251,mappings!A:B,2,FALSE)</f>
        <v>STEM</v>
      </c>
      <c r="F251" t="s">
        <v>112</v>
      </c>
    </row>
    <row r="252" spans="1:6" x14ac:dyDescent="0.25">
      <c r="A252" t="s">
        <v>3</v>
      </c>
      <c r="B252" t="s">
        <v>105</v>
      </c>
      <c r="C252">
        <v>0.19</v>
      </c>
      <c r="D252" t="s">
        <v>77</v>
      </c>
      <c r="E252" t="str">
        <f>VLOOKUP(D252,mappings!A:B,2,FALSE)</f>
        <v>Legal</v>
      </c>
      <c r="F252" t="s">
        <v>112</v>
      </c>
    </row>
    <row r="253" spans="1:6" x14ac:dyDescent="0.25">
      <c r="A253" t="s">
        <v>3</v>
      </c>
      <c r="B253" t="s">
        <v>105</v>
      </c>
      <c r="C253">
        <v>0.19</v>
      </c>
      <c r="D253" t="s">
        <v>81</v>
      </c>
      <c r="E253" t="str">
        <f>VLOOKUP(D253,mappings!A:B,2,FALSE)</f>
        <v>Legal</v>
      </c>
      <c r="F253" t="s">
        <v>112</v>
      </c>
    </row>
    <row r="254" spans="1:6" x14ac:dyDescent="0.25">
      <c r="A254" t="s">
        <v>3</v>
      </c>
      <c r="B254" t="s">
        <v>105</v>
      </c>
      <c r="C254">
        <v>0.19</v>
      </c>
      <c r="D254" t="s">
        <v>41</v>
      </c>
      <c r="E254" t="str">
        <f>VLOOKUP(D254,mappings!A:B,2,FALSE)</f>
        <v>Healthcare</v>
      </c>
      <c r="F254" t="s">
        <v>112</v>
      </c>
    </row>
    <row r="255" spans="1:6" x14ac:dyDescent="0.25">
      <c r="A255" t="s">
        <v>3</v>
      </c>
      <c r="B255" t="s">
        <v>105</v>
      </c>
      <c r="C255">
        <v>0.19</v>
      </c>
      <c r="D255" t="s">
        <v>92</v>
      </c>
      <c r="E255" t="str">
        <f>VLOOKUP(D255,mappings!A:B,2,FALSE)</f>
        <v>Management</v>
      </c>
      <c r="F255" t="s">
        <v>112</v>
      </c>
    </row>
    <row r="256" spans="1:6" x14ac:dyDescent="0.25">
      <c r="A256" t="s">
        <v>3</v>
      </c>
      <c r="B256" t="s">
        <v>105</v>
      </c>
      <c r="C256">
        <v>0.18</v>
      </c>
      <c r="D256" t="s">
        <v>34</v>
      </c>
      <c r="E256" t="str">
        <f>VLOOKUP(D256,mappings!A:B,2,FALSE)</f>
        <v>STEM</v>
      </c>
      <c r="F256" t="s">
        <v>112</v>
      </c>
    </row>
    <row r="257" spans="1:6" x14ac:dyDescent="0.25">
      <c r="A257" t="s">
        <v>3</v>
      </c>
      <c r="B257" t="s">
        <v>105</v>
      </c>
      <c r="C257">
        <v>0.18</v>
      </c>
      <c r="D257" t="s">
        <v>57</v>
      </c>
      <c r="E257" t="str">
        <f>VLOOKUP(D257,mappings!A:B,2,FALSE)</f>
        <v>Finance</v>
      </c>
      <c r="F257" t="s">
        <v>112</v>
      </c>
    </row>
    <row r="258" spans="1:6" x14ac:dyDescent="0.25">
      <c r="A258" t="s">
        <v>3</v>
      </c>
      <c r="B258" t="s">
        <v>105</v>
      </c>
      <c r="C258">
        <v>0.18</v>
      </c>
      <c r="D258" t="s">
        <v>38</v>
      </c>
      <c r="E258" t="str">
        <f>VLOOKUP(D258,mappings!A:B,2,FALSE)</f>
        <v>Healthcare</v>
      </c>
      <c r="F258" t="s">
        <v>112</v>
      </c>
    </row>
    <row r="259" spans="1:6" x14ac:dyDescent="0.25">
      <c r="A259" t="s">
        <v>3</v>
      </c>
      <c r="B259" t="s">
        <v>105</v>
      </c>
      <c r="C259">
        <v>0.18</v>
      </c>
      <c r="D259" t="s">
        <v>75</v>
      </c>
      <c r="E259" t="str">
        <f>VLOOKUP(D259,mappings!A:B,2,FALSE)</f>
        <v>STEM</v>
      </c>
      <c r="F259" t="s">
        <v>112</v>
      </c>
    </row>
    <row r="260" spans="1:6" x14ac:dyDescent="0.25">
      <c r="A260" t="s">
        <v>3</v>
      </c>
      <c r="B260" t="s">
        <v>105</v>
      </c>
      <c r="C260">
        <v>0.18</v>
      </c>
      <c r="D260" t="s">
        <v>54</v>
      </c>
      <c r="E260" t="str">
        <f>VLOOKUP(D260,mappings!A:B,2,FALSE)</f>
        <v>Marketing</v>
      </c>
      <c r="F260" t="s">
        <v>112</v>
      </c>
    </row>
    <row r="261" spans="1:6" x14ac:dyDescent="0.25">
      <c r="A261" t="s">
        <v>3</v>
      </c>
      <c r="B261" t="s">
        <v>105</v>
      </c>
      <c r="C261">
        <v>0.18</v>
      </c>
      <c r="D261" t="s">
        <v>93</v>
      </c>
      <c r="E261" t="str">
        <f>VLOOKUP(D261,mappings!A:B,2,FALSE)</f>
        <v>Legal</v>
      </c>
      <c r="F261" t="s">
        <v>112</v>
      </c>
    </row>
    <row r="262" spans="1:6" x14ac:dyDescent="0.25">
      <c r="A262" t="s">
        <v>3</v>
      </c>
      <c r="B262" t="s">
        <v>105</v>
      </c>
      <c r="C262">
        <v>0.18</v>
      </c>
      <c r="D262" t="s">
        <v>55</v>
      </c>
      <c r="E262" t="str">
        <f>VLOOKUP(D262,mappings!A:B,2,FALSE)</f>
        <v>Human Resources</v>
      </c>
      <c r="F262" t="s">
        <v>112</v>
      </c>
    </row>
    <row r="263" spans="1:6" x14ac:dyDescent="0.25">
      <c r="A263" t="s">
        <v>3</v>
      </c>
      <c r="B263" t="s">
        <v>105</v>
      </c>
      <c r="C263">
        <v>0.18</v>
      </c>
      <c r="D263" t="s">
        <v>59</v>
      </c>
      <c r="E263" t="str">
        <f>VLOOKUP(D263,mappings!A:B,2,FALSE)</f>
        <v>Real Estate</v>
      </c>
      <c r="F263" t="s">
        <v>112</v>
      </c>
    </row>
    <row r="264" spans="1:6" x14ac:dyDescent="0.25">
      <c r="A264" t="s">
        <v>3</v>
      </c>
      <c r="B264" t="s">
        <v>105</v>
      </c>
      <c r="C264">
        <v>0.18</v>
      </c>
      <c r="D264" t="s">
        <v>22</v>
      </c>
      <c r="E264" t="str">
        <f>VLOOKUP(D264,mappings!A:B,2,FALSE)</f>
        <v>Management</v>
      </c>
      <c r="F264" t="s">
        <v>112</v>
      </c>
    </row>
    <row r="265" spans="1:6" x14ac:dyDescent="0.25">
      <c r="A265" t="s">
        <v>3</v>
      </c>
      <c r="B265" t="s">
        <v>105</v>
      </c>
      <c r="C265">
        <v>0.18</v>
      </c>
      <c r="D265" t="s">
        <v>12</v>
      </c>
      <c r="E265" t="str">
        <f>VLOOKUP(D265,mappings!A:B,2,FALSE)</f>
        <v>STEM</v>
      </c>
      <c r="F265" t="s">
        <v>112</v>
      </c>
    </row>
    <row r="266" spans="1:6" x14ac:dyDescent="0.25">
      <c r="A266" t="s">
        <v>3</v>
      </c>
      <c r="B266" t="s">
        <v>105</v>
      </c>
      <c r="C266">
        <v>0.17</v>
      </c>
      <c r="D266" t="s">
        <v>44</v>
      </c>
      <c r="E266" t="str">
        <f>VLOOKUP(D266,mappings!A:B,2,FALSE)</f>
        <v>Healthcare</v>
      </c>
      <c r="F266" t="s">
        <v>112</v>
      </c>
    </row>
    <row r="267" spans="1:6" x14ac:dyDescent="0.25">
      <c r="A267" t="s">
        <v>3</v>
      </c>
      <c r="B267" t="s">
        <v>105</v>
      </c>
      <c r="C267">
        <v>0.17</v>
      </c>
      <c r="D267" t="s">
        <v>64</v>
      </c>
      <c r="E267" t="str">
        <f>VLOOKUP(D267,mappings!A:B,2,FALSE)</f>
        <v>STEM</v>
      </c>
      <c r="F267" t="s">
        <v>112</v>
      </c>
    </row>
    <row r="268" spans="1:6" x14ac:dyDescent="0.25">
      <c r="A268" t="s">
        <v>3</v>
      </c>
      <c r="B268" t="s">
        <v>105</v>
      </c>
      <c r="C268">
        <v>0.17</v>
      </c>
      <c r="D268" t="s">
        <v>94</v>
      </c>
      <c r="E268" t="str">
        <f>VLOOKUP(D268,mappings!A:B,2,FALSE)</f>
        <v>Management</v>
      </c>
      <c r="F268" t="s">
        <v>112</v>
      </c>
    </row>
    <row r="269" spans="1:6" x14ac:dyDescent="0.25">
      <c r="A269" t="s">
        <v>3</v>
      </c>
      <c r="B269" t="s">
        <v>105</v>
      </c>
      <c r="C269">
        <v>0.17</v>
      </c>
      <c r="D269" t="s">
        <v>80</v>
      </c>
      <c r="E269" t="str">
        <f>VLOOKUP(D269,mappings!A:B,2,FALSE)</f>
        <v>Hospitality</v>
      </c>
      <c r="F269" t="s">
        <v>112</v>
      </c>
    </row>
    <row r="270" spans="1:6" x14ac:dyDescent="0.25">
      <c r="A270" t="s">
        <v>3</v>
      </c>
      <c r="B270" t="s">
        <v>105</v>
      </c>
      <c r="C270">
        <v>0.17</v>
      </c>
      <c r="D270" t="s">
        <v>35</v>
      </c>
      <c r="E270" t="str">
        <f>VLOOKUP(D270,mappings!A:B,2,FALSE)</f>
        <v>Education</v>
      </c>
      <c r="F270" t="s">
        <v>112</v>
      </c>
    </row>
    <row r="271" spans="1:6" x14ac:dyDescent="0.25">
      <c r="A271" t="s">
        <v>3</v>
      </c>
      <c r="B271" t="s">
        <v>105</v>
      </c>
      <c r="C271">
        <v>0.17</v>
      </c>
      <c r="D271" t="s">
        <v>86</v>
      </c>
      <c r="E271" t="str">
        <f>VLOOKUP(D271,mappings!A:B,2,FALSE)</f>
        <v>Finance</v>
      </c>
      <c r="F271" t="s">
        <v>112</v>
      </c>
    </row>
    <row r="272" spans="1:6" x14ac:dyDescent="0.25">
      <c r="A272" t="s">
        <v>3</v>
      </c>
      <c r="B272" t="s">
        <v>105</v>
      </c>
      <c r="C272">
        <v>0.17</v>
      </c>
      <c r="D272" t="s">
        <v>69</v>
      </c>
      <c r="E272" t="str">
        <f>VLOOKUP(D272,mappings!A:B,2,FALSE)</f>
        <v>Hospitality</v>
      </c>
      <c r="F272" t="s">
        <v>112</v>
      </c>
    </row>
    <row r="273" spans="1:6" x14ac:dyDescent="0.25">
      <c r="A273" t="s">
        <v>3</v>
      </c>
      <c r="B273" t="s">
        <v>105</v>
      </c>
      <c r="C273">
        <v>0.17</v>
      </c>
      <c r="D273" t="s">
        <v>21</v>
      </c>
      <c r="E273" t="str">
        <f>VLOOKUP(D273,mappings!A:B,2,FALSE)</f>
        <v>Trades</v>
      </c>
      <c r="F273" t="s">
        <v>112</v>
      </c>
    </row>
    <row r="274" spans="1:6" x14ac:dyDescent="0.25">
      <c r="A274" t="s">
        <v>3</v>
      </c>
      <c r="B274" t="s">
        <v>105</v>
      </c>
      <c r="C274">
        <v>0.17</v>
      </c>
      <c r="D274" t="s">
        <v>88</v>
      </c>
      <c r="E274" t="str">
        <f>VLOOKUP(D274,mappings!A:B,2,FALSE)</f>
        <v>Healthcare</v>
      </c>
      <c r="F274" t="s">
        <v>112</v>
      </c>
    </row>
    <row r="275" spans="1:6" x14ac:dyDescent="0.25">
      <c r="A275" t="s">
        <v>3</v>
      </c>
      <c r="B275" t="s">
        <v>105</v>
      </c>
      <c r="C275">
        <v>0.17</v>
      </c>
      <c r="D275" t="s">
        <v>82</v>
      </c>
      <c r="E275" t="str">
        <f>VLOOKUP(D275,mappings!A:B,2,FALSE)</f>
        <v>STEM</v>
      </c>
      <c r="F275" t="s">
        <v>112</v>
      </c>
    </row>
    <row r="276" spans="1:6" x14ac:dyDescent="0.25">
      <c r="A276" t="s">
        <v>3</v>
      </c>
      <c r="B276" t="s">
        <v>105</v>
      </c>
      <c r="C276">
        <v>0.16</v>
      </c>
      <c r="D276" t="s">
        <v>95</v>
      </c>
      <c r="E276" t="str">
        <f>VLOOKUP(D276,mappings!A:B,2,FALSE)</f>
        <v>STEM</v>
      </c>
      <c r="F276" t="s">
        <v>112</v>
      </c>
    </row>
    <row r="277" spans="1:6" x14ac:dyDescent="0.25">
      <c r="A277" t="s">
        <v>3</v>
      </c>
      <c r="B277" t="s">
        <v>105</v>
      </c>
      <c r="C277">
        <v>0.16</v>
      </c>
      <c r="D277" t="s">
        <v>26</v>
      </c>
      <c r="E277" t="str">
        <f>VLOOKUP(D277,mappings!A:B,2,FALSE)</f>
        <v>Healthcare</v>
      </c>
      <c r="F277" t="s">
        <v>112</v>
      </c>
    </row>
    <row r="278" spans="1:6" x14ac:dyDescent="0.25">
      <c r="A278" t="s">
        <v>3</v>
      </c>
      <c r="B278" t="s">
        <v>105</v>
      </c>
      <c r="C278">
        <v>0.16</v>
      </c>
      <c r="D278" t="s">
        <v>71</v>
      </c>
      <c r="E278" t="str">
        <f>VLOOKUP(D278,mappings!A:B,2,FALSE)</f>
        <v>STEM</v>
      </c>
      <c r="F278" t="s">
        <v>112</v>
      </c>
    </row>
    <row r="279" spans="1:6" x14ac:dyDescent="0.25">
      <c r="A279" t="s">
        <v>3</v>
      </c>
      <c r="B279" t="s">
        <v>105</v>
      </c>
      <c r="C279">
        <v>0.16</v>
      </c>
      <c r="D279" t="s">
        <v>65</v>
      </c>
      <c r="E279" t="str">
        <f>VLOOKUP(D279,mappings!A:B,2,FALSE)</f>
        <v>Management</v>
      </c>
      <c r="F279" t="s">
        <v>112</v>
      </c>
    </row>
    <row r="280" spans="1:6" x14ac:dyDescent="0.25">
      <c r="A280" t="s">
        <v>3</v>
      </c>
      <c r="B280" t="s">
        <v>105</v>
      </c>
      <c r="C280">
        <v>0.16</v>
      </c>
      <c r="D280" t="s">
        <v>61</v>
      </c>
      <c r="E280" t="str">
        <f>VLOOKUP(D280,mappings!A:B,2,FALSE)</f>
        <v>STEM</v>
      </c>
      <c r="F280" t="s">
        <v>112</v>
      </c>
    </row>
    <row r="281" spans="1:6" x14ac:dyDescent="0.25">
      <c r="A281" t="s">
        <v>3</v>
      </c>
      <c r="B281" t="s">
        <v>105</v>
      </c>
      <c r="C281">
        <v>0.16</v>
      </c>
      <c r="D281" t="s">
        <v>103</v>
      </c>
      <c r="E281" t="str">
        <f>VLOOKUP(D281,mappings!A:B,2,FALSE)</f>
        <v>Healthcare</v>
      </c>
      <c r="F281" t="s">
        <v>112</v>
      </c>
    </row>
    <row r="282" spans="1:6" x14ac:dyDescent="0.25">
      <c r="A282" t="s">
        <v>3</v>
      </c>
      <c r="B282" t="s">
        <v>105</v>
      </c>
      <c r="C282">
        <v>0.16</v>
      </c>
      <c r="D282" t="s">
        <v>74</v>
      </c>
      <c r="E282" t="str">
        <f>VLOOKUP(D282,mappings!A:B,2,FALSE)</f>
        <v>Healthcare</v>
      </c>
      <c r="F282" t="s">
        <v>112</v>
      </c>
    </row>
    <row r="283" spans="1:6" x14ac:dyDescent="0.25">
      <c r="A283" t="s">
        <v>3</v>
      </c>
      <c r="B283" t="s">
        <v>105</v>
      </c>
      <c r="C283">
        <v>0.15</v>
      </c>
      <c r="D283" t="s">
        <v>73</v>
      </c>
      <c r="E283" t="str">
        <f>VLOOKUP(D283,mappings!A:B,2,FALSE)</f>
        <v>Finance</v>
      </c>
      <c r="F283" t="s">
        <v>112</v>
      </c>
    </row>
    <row r="284" spans="1:6" x14ac:dyDescent="0.25">
      <c r="A284" t="s">
        <v>3</v>
      </c>
      <c r="B284" t="s">
        <v>105</v>
      </c>
      <c r="C284">
        <v>0.15</v>
      </c>
      <c r="D284" t="s">
        <v>18</v>
      </c>
      <c r="E284" t="str">
        <f>VLOOKUP(D284,mappings!A:B,2,FALSE)</f>
        <v>Finance</v>
      </c>
      <c r="F284" t="s">
        <v>112</v>
      </c>
    </row>
    <row r="285" spans="1:6" x14ac:dyDescent="0.25">
      <c r="A285" t="s">
        <v>3</v>
      </c>
      <c r="B285" t="s">
        <v>105</v>
      </c>
      <c r="C285">
        <v>0.15</v>
      </c>
      <c r="D285" t="s">
        <v>56</v>
      </c>
      <c r="E285" t="str">
        <f>VLOOKUP(D285,mappings!A:B,2,FALSE)</f>
        <v>STEM</v>
      </c>
      <c r="F285" t="s">
        <v>112</v>
      </c>
    </row>
    <row r="286" spans="1:6" x14ac:dyDescent="0.25">
      <c r="A286" t="s">
        <v>3</v>
      </c>
      <c r="B286" t="s">
        <v>105</v>
      </c>
      <c r="C286">
        <v>0.15</v>
      </c>
      <c r="D286" t="s">
        <v>72</v>
      </c>
      <c r="E286" t="str">
        <f>VLOOKUP(D286,mappings!A:B,2,FALSE)</f>
        <v>STEM</v>
      </c>
      <c r="F286" t="s">
        <v>112</v>
      </c>
    </row>
    <row r="287" spans="1:6" x14ac:dyDescent="0.25">
      <c r="A287" t="s">
        <v>3</v>
      </c>
      <c r="B287" t="s">
        <v>105</v>
      </c>
      <c r="C287">
        <v>0.15</v>
      </c>
      <c r="D287" t="s">
        <v>96</v>
      </c>
      <c r="E287" t="str">
        <f>VLOOKUP(D287,mappings!A:B,2,FALSE)</f>
        <v>Sales</v>
      </c>
      <c r="F287" t="s">
        <v>112</v>
      </c>
    </row>
    <row r="288" spans="1:6" x14ac:dyDescent="0.25">
      <c r="A288" t="s">
        <v>3</v>
      </c>
      <c r="B288" t="s">
        <v>105</v>
      </c>
      <c r="C288">
        <v>0.15</v>
      </c>
      <c r="D288" t="s">
        <v>52</v>
      </c>
      <c r="E288" t="str">
        <f>VLOOKUP(D288,mappings!A:B,2,FALSE)</f>
        <v>Operations</v>
      </c>
      <c r="F288" t="s">
        <v>112</v>
      </c>
    </row>
    <row r="289" spans="1:6" x14ac:dyDescent="0.25">
      <c r="A289" t="s">
        <v>3</v>
      </c>
      <c r="B289" t="s">
        <v>105</v>
      </c>
      <c r="C289">
        <v>0.15</v>
      </c>
      <c r="D289" t="s">
        <v>84</v>
      </c>
      <c r="E289" t="str">
        <f>VLOOKUP(D289,mappings!A:B,2,FALSE)</f>
        <v>Hospitality</v>
      </c>
      <c r="F289" t="s">
        <v>112</v>
      </c>
    </row>
    <row r="290" spans="1:6" x14ac:dyDescent="0.25">
      <c r="A290" t="s">
        <v>3</v>
      </c>
      <c r="B290" t="s">
        <v>105</v>
      </c>
      <c r="C290">
        <v>0.15</v>
      </c>
      <c r="D290" t="s">
        <v>99</v>
      </c>
      <c r="E290" t="str">
        <f>VLOOKUP(D290,mappings!A:B,2,FALSE)</f>
        <v>Operations</v>
      </c>
      <c r="F290" t="s">
        <v>112</v>
      </c>
    </row>
    <row r="291" spans="1:6" x14ac:dyDescent="0.25">
      <c r="A291" t="s">
        <v>3</v>
      </c>
      <c r="B291" t="s">
        <v>105</v>
      </c>
      <c r="C291">
        <v>0.14000000000000001</v>
      </c>
      <c r="D291" t="s">
        <v>15</v>
      </c>
      <c r="E291" t="str">
        <f>VLOOKUP(D291,mappings!A:B,2,FALSE)</f>
        <v>Trades</v>
      </c>
      <c r="F291" t="s">
        <v>112</v>
      </c>
    </row>
    <row r="292" spans="1:6" x14ac:dyDescent="0.25">
      <c r="A292" t="s">
        <v>3</v>
      </c>
      <c r="B292" t="s">
        <v>105</v>
      </c>
      <c r="C292">
        <v>0.14000000000000001</v>
      </c>
      <c r="D292" t="s">
        <v>90</v>
      </c>
      <c r="E292" t="str">
        <f>VLOOKUP(D292,mappings!A:B,2,FALSE)</f>
        <v>Marketing</v>
      </c>
      <c r="F292" t="s">
        <v>112</v>
      </c>
    </row>
    <row r="293" spans="1:6" x14ac:dyDescent="0.25">
      <c r="A293" t="s">
        <v>3</v>
      </c>
      <c r="B293" t="s">
        <v>105</v>
      </c>
      <c r="C293">
        <v>0.14000000000000001</v>
      </c>
      <c r="D293" t="s">
        <v>8</v>
      </c>
      <c r="E293" t="str">
        <f>VLOOKUP(D293,mappings!A:B,2,FALSE)</f>
        <v>Healthcare</v>
      </c>
      <c r="F293" t="s">
        <v>112</v>
      </c>
    </row>
    <row r="294" spans="1:6" x14ac:dyDescent="0.25">
      <c r="A294" t="s">
        <v>3</v>
      </c>
      <c r="B294" t="s">
        <v>105</v>
      </c>
      <c r="C294">
        <v>0.13</v>
      </c>
      <c r="D294" t="s">
        <v>102</v>
      </c>
      <c r="E294" t="str">
        <f>VLOOKUP(D294,mappings!A:B,2,FALSE)</f>
        <v>Operations</v>
      </c>
      <c r="F294" t="s">
        <v>112</v>
      </c>
    </row>
    <row r="295" spans="1:6" x14ac:dyDescent="0.25">
      <c r="A295" t="s">
        <v>3</v>
      </c>
      <c r="B295" t="s">
        <v>105</v>
      </c>
      <c r="C295">
        <v>0.13</v>
      </c>
      <c r="D295" t="s">
        <v>66</v>
      </c>
      <c r="E295" t="str">
        <f>VLOOKUP(D295,mappings!A:B,2,FALSE)</f>
        <v>Healthcare</v>
      </c>
      <c r="F295" t="s">
        <v>112</v>
      </c>
    </row>
    <row r="296" spans="1:6" x14ac:dyDescent="0.25">
      <c r="A296" t="s">
        <v>3</v>
      </c>
      <c r="B296" t="s">
        <v>105</v>
      </c>
      <c r="C296">
        <v>0.13</v>
      </c>
      <c r="D296" t="s">
        <v>20</v>
      </c>
      <c r="E296" t="str">
        <f>VLOOKUP(D296,mappings!A:B,2,FALSE)</f>
        <v>Hospitality</v>
      </c>
      <c r="F296" t="s">
        <v>112</v>
      </c>
    </row>
    <row r="297" spans="1:6" x14ac:dyDescent="0.25">
      <c r="A297" t="s">
        <v>3</v>
      </c>
      <c r="B297" t="s">
        <v>105</v>
      </c>
      <c r="C297">
        <v>0.13</v>
      </c>
      <c r="D297" t="s">
        <v>78</v>
      </c>
      <c r="E297" t="str">
        <f>VLOOKUP(D297,mappings!A:B,2,FALSE)</f>
        <v>Hospitality</v>
      </c>
      <c r="F297" t="s">
        <v>112</v>
      </c>
    </row>
    <row r="298" spans="1:6" x14ac:dyDescent="0.25">
      <c r="A298" t="s">
        <v>3</v>
      </c>
      <c r="B298" t="s">
        <v>105</v>
      </c>
      <c r="C298">
        <v>0.13</v>
      </c>
      <c r="D298" t="s">
        <v>79</v>
      </c>
      <c r="E298" t="str">
        <f>VLOOKUP(D298,mappings!A:B,2,FALSE)</f>
        <v>Marketing</v>
      </c>
      <c r="F298" t="s">
        <v>112</v>
      </c>
    </row>
    <row r="299" spans="1:6" x14ac:dyDescent="0.25">
      <c r="A299" t="s">
        <v>3</v>
      </c>
      <c r="B299" t="s">
        <v>105</v>
      </c>
      <c r="C299">
        <v>0.13</v>
      </c>
      <c r="D299" t="s">
        <v>87</v>
      </c>
      <c r="E299" t="str">
        <f>VLOOKUP(D299,mappings!A:B,2,FALSE)</f>
        <v>Trades</v>
      </c>
      <c r="F299" t="s">
        <v>112</v>
      </c>
    </row>
    <row r="300" spans="1:6" x14ac:dyDescent="0.25">
      <c r="A300" t="s">
        <v>3</v>
      </c>
      <c r="B300" t="s">
        <v>105</v>
      </c>
      <c r="C300">
        <v>0.12</v>
      </c>
      <c r="D300" t="s">
        <v>46</v>
      </c>
      <c r="E300" t="str">
        <f>VLOOKUP(D300,mappings!A:B,2,FALSE)</f>
        <v>STEM</v>
      </c>
      <c r="F300" t="s">
        <v>112</v>
      </c>
    </row>
    <row r="301" spans="1:6" x14ac:dyDescent="0.25">
      <c r="A301" t="s">
        <v>3</v>
      </c>
      <c r="B301" t="s">
        <v>105</v>
      </c>
      <c r="C301">
        <v>0.1</v>
      </c>
      <c r="D301" t="s">
        <v>97</v>
      </c>
      <c r="E301" t="str">
        <f>VLOOKUP(D301,mappings!A:B,2,FALSE)</f>
        <v>STEM</v>
      </c>
      <c r="F301" t="s">
        <v>112</v>
      </c>
    </row>
    <row r="302" spans="1:6" x14ac:dyDescent="0.25">
      <c r="A302" t="s">
        <v>104</v>
      </c>
      <c r="B302" t="s">
        <v>106</v>
      </c>
      <c r="C302">
        <v>0.31</v>
      </c>
      <c r="D302" t="s">
        <v>7</v>
      </c>
      <c r="E302" t="str">
        <f>VLOOKUP(D302,mappings!A:B,2,FALSE)</f>
        <v>Legal</v>
      </c>
      <c r="F302" t="s">
        <v>112</v>
      </c>
    </row>
    <row r="303" spans="1:6" x14ac:dyDescent="0.25">
      <c r="A303" t="s">
        <v>104</v>
      </c>
      <c r="B303" t="s">
        <v>106</v>
      </c>
      <c r="C303">
        <v>0.28999999999999998</v>
      </c>
      <c r="D303" t="s">
        <v>5</v>
      </c>
      <c r="E303" t="str">
        <f>VLOOKUP(D303,mappings!A:B,2,FALSE)</f>
        <v>Hospitality</v>
      </c>
      <c r="F303" t="s">
        <v>112</v>
      </c>
    </row>
    <row r="304" spans="1:6" x14ac:dyDescent="0.25">
      <c r="A304" t="s">
        <v>104</v>
      </c>
      <c r="B304" t="s">
        <v>106</v>
      </c>
      <c r="C304">
        <v>0.27</v>
      </c>
      <c r="D304" t="s">
        <v>4</v>
      </c>
      <c r="E304" t="str">
        <f>VLOOKUP(D304,mappings!A:B,2,FALSE)</f>
        <v>Creative</v>
      </c>
      <c r="F304" t="s">
        <v>112</v>
      </c>
    </row>
    <row r="305" spans="1:6" x14ac:dyDescent="0.25">
      <c r="A305" t="s">
        <v>104</v>
      </c>
      <c r="B305" t="s">
        <v>106</v>
      </c>
      <c r="C305">
        <v>0.26</v>
      </c>
      <c r="D305" t="s">
        <v>14</v>
      </c>
      <c r="E305" t="str">
        <f>VLOOKUP(D305,mappings!A:B,2,FALSE)</f>
        <v>Creative</v>
      </c>
      <c r="F305" t="s">
        <v>112</v>
      </c>
    </row>
    <row r="306" spans="1:6" x14ac:dyDescent="0.25">
      <c r="A306" t="s">
        <v>104</v>
      </c>
      <c r="B306" t="s">
        <v>106</v>
      </c>
      <c r="C306">
        <v>0.25</v>
      </c>
      <c r="D306" t="s">
        <v>27</v>
      </c>
      <c r="E306" t="str">
        <f>VLOOKUP(D306,mappings!A:B,2,FALSE)</f>
        <v>Management</v>
      </c>
      <c r="F306" t="s">
        <v>112</v>
      </c>
    </row>
    <row r="307" spans="1:6" x14ac:dyDescent="0.25">
      <c r="A307" t="s">
        <v>104</v>
      </c>
      <c r="B307" t="s">
        <v>106</v>
      </c>
      <c r="C307">
        <v>0.24</v>
      </c>
      <c r="D307" t="s">
        <v>16</v>
      </c>
      <c r="E307" t="str">
        <f>VLOOKUP(D307,mappings!A:B,2,FALSE)</f>
        <v>Finance</v>
      </c>
      <c r="F307" t="s">
        <v>112</v>
      </c>
    </row>
    <row r="308" spans="1:6" x14ac:dyDescent="0.25">
      <c r="A308" t="s">
        <v>104</v>
      </c>
      <c r="B308" t="s">
        <v>106</v>
      </c>
      <c r="C308">
        <v>0.24</v>
      </c>
      <c r="D308" t="s">
        <v>85</v>
      </c>
      <c r="E308" t="str">
        <f>VLOOKUP(D308,mappings!A:B,2,FALSE)</f>
        <v>STEM</v>
      </c>
      <c r="F308" t="s">
        <v>112</v>
      </c>
    </row>
    <row r="309" spans="1:6" x14ac:dyDescent="0.25">
      <c r="A309" t="s">
        <v>104</v>
      </c>
      <c r="B309" t="s">
        <v>106</v>
      </c>
      <c r="C309">
        <v>0.24</v>
      </c>
      <c r="D309" t="s">
        <v>24</v>
      </c>
      <c r="E309" t="str">
        <f>VLOOKUP(D309,mappings!A:B,2,FALSE)</f>
        <v>Education</v>
      </c>
      <c r="F309" t="s">
        <v>112</v>
      </c>
    </row>
    <row r="310" spans="1:6" x14ac:dyDescent="0.25">
      <c r="A310" t="s">
        <v>104</v>
      </c>
      <c r="B310" t="s">
        <v>106</v>
      </c>
      <c r="C310">
        <v>0.23</v>
      </c>
      <c r="D310" t="s">
        <v>13</v>
      </c>
      <c r="E310" t="str">
        <f>VLOOKUP(D310,mappings!A:B,2,FALSE)</f>
        <v>Administration</v>
      </c>
      <c r="F310" t="s">
        <v>112</v>
      </c>
    </row>
    <row r="311" spans="1:6" x14ac:dyDescent="0.25">
      <c r="A311" t="s">
        <v>104</v>
      </c>
      <c r="B311" t="s">
        <v>106</v>
      </c>
      <c r="C311">
        <v>0.23</v>
      </c>
      <c r="D311" t="s">
        <v>50</v>
      </c>
      <c r="E311" t="str">
        <f>VLOOKUP(D311,mappings!A:B,2,FALSE)</f>
        <v>Education</v>
      </c>
      <c r="F311" t="s">
        <v>112</v>
      </c>
    </row>
    <row r="312" spans="1:6" x14ac:dyDescent="0.25">
      <c r="A312" t="s">
        <v>104</v>
      </c>
      <c r="B312" t="s">
        <v>106</v>
      </c>
      <c r="C312">
        <v>0.22</v>
      </c>
      <c r="D312" t="s">
        <v>11</v>
      </c>
      <c r="E312" t="str">
        <f>VLOOKUP(D312,mappings!A:B,2,FALSE)</f>
        <v>Human Resources</v>
      </c>
      <c r="F312" t="s">
        <v>112</v>
      </c>
    </row>
    <row r="313" spans="1:6" x14ac:dyDescent="0.25">
      <c r="A313" t="s">
        <v>104</v>
      </c>
      <c r="B313" t="s">
        <v>106</v>
      </c>
      <c r="C313">
        <v>0.22</v>
      </c>
      <c r="D313" t="s">
        <v>32</v>
      </c>
      <c r="E313" t="str">
        <f>VLOOKUP(D313,mappings!A:B,2,FALSE)</f>
        <v>Human Resources</v>
      </c>
      <c r="F313" t="s">
        <v>112</v>
      </c>
    </row>
    <row r="314" spans="1:6" x14ac:dyDescent="0.25">
      <c r="A314" t="s">
        <v>104</v>
      </c>
      <c r="B314" t="s">
        <v>106</v>
      </c>
      <c r="C314">
        <v>0.22</v>
      </c>
      <c r="D314" t="s">
        <v>98</v>
      </c>
      <c r="E314" t="str">
        <f>VLOOKUP(D314,mappings!A:B,2,FALSE)</f>
        <v>STEM</v>
      </c>
      <c r="F314" t="s">
        <v>112</v>
      </c>
    </row>
    <row r="315" spans="1:6" x14ac:dyDescent="0.25">
      <c r="A315" t="s">
        <v>104</v>
      </c>
      <c r="B315" t="s">
        <v>106</v>
      </c>
      <c r="C315">
        <v>0.22</v>
      </c>
      <c r="D315" t="s">
        <v>58</v>
      </c>
      <c r="E315" t="str">
        <f>VLOOKUP(D315,mappings!A:B,2,FALSE)</f>
        <v>Education</v>
      </c>
      <c r="F315" t="s">
        <v>112</v>
      </c>
    </row>
    <row r="316" spans="1:6" x14ac:dyDescent="0.25">
      <c r="A316" t="s">
        <v>104</v>
      </c>
      <c r="B316" t="s">
        <v>106</v>
      </c>
      <c r="C316">
        <v>0.21</v>
      </c>
      <c r="D316" t="s">
        <v>17</v>
      </c>
      <c r="E316" t="str">
        <f>VLOOKUP(D316,mappings!A:B,2,FALSE)</f>
        <v>Sales</v>
      </c>
      <c r="F316" t="s">
        <v>112</v>
      </c>
    </row>
    <row r="317" spans="1:6" x14ac:dyDescent="0.25">
      <c r="A317" t="s">
        <v>104</v>
      </c>
      <c r="B317" t="s">
        <v>106</v>
      </c>
      <c r="C317">
        <v>0.21</v>
      </c>
      <c r="D317" t="s">
        <v>25</v>
      </c>
      <c r="E317" t="str">
        <f>VLOOKUP(D317,mappings!A:B,2,FALSE)</f>
        <v>Creative</v>
      </c>
      <c r="F317" t="s">
        <v>112</v>
      </c>
    </row>
    <row r="318" spans="1:6" x14ac:dyDescent="0.25">
      <c r="A318" t="s">
        <v>104</v>
      </c>
      <c r="B318" t="s">
        <v>106</v>
      </c>
      <c r="C318">
        <v>0.21</v>
      </c>
      <c r="D318" t="s">
        <v>92</v>
      </c>
      <c r="E318" t="str">
        <f>VLOOKUP(D318,mappings!A:B,2,FALSE)</f>
        <v>Management</v>
      </c>
      <c r="F318" t="s">
        <v>112</v>
      </c>
    </row>
    <row r="319" spans="1:6" x14ac:dyDescent="0.25">
      <c r="A319" t="s">
        <v>104</v>
      </c>
      <c r="B319" t="s">
        <v>106</v>
      </c>
      <c r="C319">
        <v>0.21</v>
      </c>
      <c r="D319" t="s">
        <v>23</v>
      </c>
      <c r="E319" t="str">
        <f>VLOOKUP(D319,mappings!A:B,2,FALSE)</f>
        <v>Creative</v>
      </c>
      <c r="F319" t="s">
        <v>112</v>
      </c>
    </row>
    <row r="320" spans="1:6" x14ac:dyDescent="0.25">
      <c r="A320" t="s">
        <v>104</v>
      </c>
      <c r="B320" t="s">
        <v>106</v>
      </c>
      <c r="C320">
        <v>0.2</v>
      </c>
      <c r="D320" t="s">
        <v>73</v>
      </c>
      <c r="E320" t="str">
        <f>VLOOKUP(D320,mappings!A:B,2,FALSE)</f>
        <v>Finance</v>
      </c>
      <c r="F320" t="s">
        <v>112</v>
      </c>
    </row>
    <row r="321" spans="1:6" x14ac:dyDescent="0.25">
      <c r="A321" t="s">
        <v>104</v>
      </c>
      <c r="B321" t="s">
        <v>106</v>
      </c>
      <c r="C321">
        <v>0.2</v>
      </c>
      <c r="D321" t="s">
        <v>63</v>
      </c>
      <c r="E321" t="str">
        <f>VLOOKUP(D321,mappings!A:B,2,FALSE)</f>
        <v>Finance</v>
      </c>
      <c r="F321" t="s">
        <v>112</v>
      </c>
    </row>
    <row r="322" spans="1:6" x14ac:dyDescent="0.25">
      <c r="A322" t="s">
        <v>104</v>
      </c>
      <c r="B322" t="s">
        <v>106</v>
      </c>
      <c r="C322">
        <v>0.2</v>
      </c>
      <c r="D322" t="s">
        <v>29</v>
      </c>
      <c r="E322" t="str">
        <f>VLOOKUP(D322,mappings!A:B,2,FALSE)</f>
        <v>Creative</v>
      </c>
      <c r="F322" t="s">
        <v>112</v>
      </c>
    </row>
    <row r="323" spans="1:6" x14ac:dyDescent="0.25">
      <c r="A323" t="s">
        <v>104</v>
      </c>
      <c r="B323" t="s">
        <v>106</v>
      </c>
      <c r="C323">
        <v>0.2</v>
      </c>
      <c r="D323" t="s">
        <v>35</v>
      </c>
      <c r="E323" t="str">
        <f>VLOOKUP(D323,mappings!A:B,2,FALSE)</f>
        <v>Education</v>
      </c>
      <c r="F323" t="s">
        <v>112</v>
      </c>
    </row>
    <row r="324" spans="1:6" x14ac:dyDescent="0.25">
      <c r="A324" t="s">
        <v>104</v>
      </c>
      <c r="B324" t="s">
        <v>106</v>
      </c>
      <c r="C324">
        <v>0.2</v>
      </c>
      <c r="D324" t="s">
        <v>86</v>
      </c>
      <c r="E324" t="str">
        <f>VLOOKUP(D324,mappings!A:B,2,FALSE)</f>
        <v>Finance</v>
      </c>
      <c r="F324" t="s">
        <v>112</v>
      </c>
    </row>
    <row r="325" spans="1:6" x14ac:dyDescent="0.25">
      <c r="A325" t="s">
        <v>104</v>
      </c>
      <c r="B325" t="s">
        <v>106</v>
      </c>
      <c r="C325">
        <v>0.2</v>
      </c>
      <c r="D325" t="s">
        <v>41</v>
      </c>
      <c r="E325" t="str">
        <f>VLOOKUP(D325,mappings!A:B,2,FALSE)</f>
        <v>Healthcare</v>
      </c>
      <c r="F325" t="s">
        <v>112</v>
      </c>
    </row>
    <row r="326" spans="1:6" x14ac:dyDescent="0.25">
      <c r="A326" t="s">
        <v>104</v>
      </c>
      <c r="B326" t="s">
        <v>106</v>
      </c>
      <c r="C326">
        <v>0.2</v>
      </c>
      <c r="D326" t="s">
        <v>47</v>
      </c>
      <c r="E326" t="str">
        <f>VLOOKUP(D326,mappings!A:B,2,FALSE)</f>
        <v>Legal</v>
      </c>
      <c r="F326" t="s">
        <v>112</v>
      </c>
    </row>
    <row r="327" spans="1:6" x14ac:dyDescent="0.25">
      <c r="A327" t="s">
        <v>104</v>
      </c>
      <c r="B327" t="s">
        <v>106</v>
      </c>
      <c r="C327">
        <v>0.2</v>
      </c>
      <c r="D327" t="s">
        <v>21</v>
      </c>
      <c r="E327" t="str">
        <f>VLOOKUP(D327,mappings!A:B,2,FALSE)</f>
        <v>Trades</v>
      </c>
      <c r="F327" t="s">
        <v>112</v>
      </c>
    </row>
    <row r="328" spans="1:6" x14ac:dyDescent="0.25">
      <c r="A328" t="s">
        <v>104</v>
      </c>
      <c r="B328" t="s">
        <v>106</v>
      </c>
      <c r="C328">
        <v>0.19</v>
      </c>
      <c r="D328" t="s">
        <v>19</v>
      </c>
      <c r="E328" t="str">
        <f>VLOOKUP(D328,mappings!A:B,2,FALSE)</f>
        <v>Finance</v>
      </c>
      <c r="F328" t="s">
        <v>112</v>
      </c>
    </row>
    <row r="329" spans="1:6" x14ac:dyDescent="0.25">
      <c r="A329" t="s">
        <v>104</v>
      </c>
      <c r="B329" t="s">
        <v>106</v>
      </c>
      <c r="C329">
        <v>0.19</v>
      </c>
      <c r="D329" t="s">
        <v>80</v>
      </c>
      <c r="E329" t="str">
        <f>VLOOKUP(D329,mappings!A:B,2,FALSE)</f>
        <v>Hospitality</v>
      </c>
      <c r="F329" t="s">
        <v>112</v>
      </c>
    </row>
    <row r="330" spans="1:6" x14ac:dyDescent="0.25">
      <c r="A330" t="s">
        <v>104</v>
      </c>
      <c r="B330" t="s">
        <v>106</v>
      </c>
      <c r="C330">
        <v>0.19</v>
      </c>
      <c r="D330" t="s">
        <v>89</v>
      </c>
      <c r="E330" t="str">
        <f>VLOOKUP(D330,mappings!A:B,2,FALSE)</f>
        <v>Finance</v>
      </c>
      <c r="F330" t="s">
        <v>112</v>
      </c>
    </row>
    <row r="331" spans="1:6" x14ac:dyDescent="0.25">
      <c r="A331" t="s">
        <v>104</v>
      </c>
      <c r="B331" t="s">
        <v>106</v>
      </c>
      <c r="C331">
        <v>0.19</v>
      </c>
      <c r="D331" t="s">
        <v>44</v>
      </c>
      <c r="E331" t="str">
        <f>VLOOKUP(D331,mappings!A:B,2,FALSE)</f>
        <v>Healthcare</v>
      </c>
      <c r="F331" t="s">
        <v>112</v>
      </c>
    </row>
    <row r="332" spans="1:6" x14ac:dyDescent="0.25">
      <c r="A332" t="s">
        <v>104</v>
      </c>
      <c r="B332" t="s">
        <v>106</v>
      </c>
      <c r="C332">
        <v>0.19</v>
      </c>
      <c r="D332" t="s">
        <v>40</v>
      </c>
      <c r="E332" t="str">
        <f>VLOOKUP(D332,mappings!A:B,2,FALSE)</f>
        <v>STEM</v>
      </c>
      <c r="F332" t="s">
        <v>112</v>
      </c>
    </row>
    <row r="333" spans="1:6" x14ac:dyDescent="0.25">
      <c r="A333" t="s">
        <v>104</v>
      </c>
      <c r="B333" t="s">
        <v>106</v>
      </c>
      <c r="C333">
        <v>0.19</v>
      </c>
      <c r="D333" t="s">
        <v>94</v>
      </c>
      <c r="E333" t="str">
        <f>VLOOKUP(D333,mappings!A:B,2,FALSE)</f>
        <v>Management</v>
      </c>
      <c r="F333" t="s">
        <v>112</v>
      </c>
    </row>
    <row r="334" spans="1:6" x14ac:dyDescent="0.25">
      <c r="A334" t="s">
        <v>104</v>
      </c>
      <c r="B334" t="s">
        <v>106</v>
      </c>
      <c r="C334">
        <v>0.19</v>
      </c>
      <c r="D334" t="s">
        <v>15</v>
      </c>
      <c r="E334" t="str">
        <f>VLOOKUP(D334,mappings!A:B,2,FALSE)</f>
        <v>Trades</v>
      </c>
      <c r="F334" t="s">
        <v>112</v>
      </c>
    </row>
    <row r="335" spans="1:6" x14ac:dyDescent="0.25">
      <c r="A335" t="s">
        <v>104</v>
      </c>
      <c r="B335" t="s">
        <v>106</v>
      </c>
      <c r="C335">
        <v>0.19</v>
      </c>
      <c r="D335" t="s">
        <v>49</v>
      </c>
      <c r="E335" t="str">
        <f>VLOOKUP(D335,mappings!A:B,2,FALSE)</f>
        <v>Healthcare</v>
      </c>
      <c r="F335" t="s">
        <v>112</v>
      </c>
    </row>
    <row r="336" spans="1:6" x14ac:dyDescent="0.25">
      <c r="A336" t="s">
        <v>104</v>
      </c>
      <c r="B336" t="s">
        <v>106</v>
      </c>
      <c r="C336">
        <v>0.19</v>
      </c>
      <c r="D336" t="s">
        <v>68</v>
      </c>
      <c r="E336" t="str">
        <f>VLOOKUP(D336,mappings!A:B,2,FALSE)</f>
        <v>STEM</v>
      </c>
      <c r="F336" t="s">
        <v>112</v>
      </c>
    </row>
    <row r="337" spans="1:6" x14ac:dyDescent="0.25">
      <c r="A337" t="s">
        <v>104</v>
      </c>
      <c r="B337" t="s">
        <v>106</v>
      </c>
      <c r="C337">
        <v>0.19</v>
      </c>
      <c r="D337" t="s">
        <v>39</v>
      </c>
      <c r="E337" t="str">
        <f>VLOOKUP(D337,mappings!A:B,2,FALSE)</f>
        <v>Administration</v>
      </c>
      <c r="F337" t="s">
        <v>112</v>
      </c>
    </row>
    <row r="338" spans="1:6" x14ac:dyDescent="0.25">
      <c r="A338" t="s">
        <v>104</v>
      </c>
      <c r="B338" t="s">
        <v>106</v>
      </c>
      <c r="C338">
        <v>0.19</v>
      </c>
      <c r="D338" t="s">
        <v>42</v>
      </c>
      <c r="E338" t="str">
        <f>VLOOKUP(D338,mappings!A:B,2,FALSE)</f>
        <v>Healthcare</v>
      </c>
      <c r="F338" t="s">
        <v>112</v>
      </c>
    </row>
    <row r="339" spans="1:6" x14ac:dyDescent="0.25">
      <c r="A339" t="s">
        <v>104</v>
      </c>
      <c r="B339" t="s">
        <v>106</v>
      </c>
      <c r="C339">
        <v>0.19</v>
      </c>
      <c r="D339" t="s">
        <v>60</v>
      </c>
      <c r="E339" t="str">
        <f>VLOOKUP(D339,mappings!A:B,2,FALSE)</f>
        <v>Finance</v>
      </c>
      <c r="F339" t="s">
        <v>112</v>
      </c>
    </row>
    <row r="340" spans="1:6" x14ac:dyDescent="0.25">
      <c r="A340" t="s">
        <v>104</v>
      </c>
      <c r="B340" t="s">
        <v>106</v>
      </c>
      <c r="C340">
        <v>0.19</v>
      </c>
      <c r="D340" t="s">
        <v>69</v>
      </c>
      <c r="E340" t="str">
        <f>VLOOKUP(D340,mappings!A:B,2,FALSE)</f>
        <v>Hospitality</v>
      </c>
      <c r="F340" t="s">
        <v>112</v>
      </c>
    </row>
    <row r="341" spans="1:6" x14ac:dyDescent="0.25">
      <c r="A341" t="s">
        <v>104</v>
      </c>
      <c r="B341" t="s">
        <v>106</v>
      </c>
      <c r="C341">
        <v>0.19</v>
      </c>
      <c r="D341" t="s">
        <v>43</v>
      </c>
      <c r="E341" t="str">
        <f>VLOOKUP(D341,mappings!A:B,2,FALSE)</f>
        <v>Management</v>
      </c>
      <c r="F341" t="s">
        <v>112</v>
      </c>
    </row>
    <row r="342" spans="1:6" x14ac:dyDescent="0.25">
      <c r="A342" t="s">
        <v>104</v>
      </c>
      <c r="B342" t="s">
        <v>106</v>
      </c>
      <c r="C342">
        <v>0.18</v>
      </c>
      <c r="D342" t="s">
        <v>76</v>
      </c>
      <c r="E342" t="str">
        <f>VLOOKUP(D342,mappings!A:B,2,FALSE)</f>
        <v>Real Estate</v>
      </c>
      <c r="F342" t="s">
        <v>112</v>
      </c>
    </row>
    <row r="343" spans="1:6" x14ac:dyDescent="0.25">
      <c r="A343" t="s">
        <v>104</v>
      </c>
      <c r="B343" t="s">
        <v>106</v>
      </c>
      <c r="C343">
        <v>0.18</v>
      </c>
      <c r="D343" t="s">
        <v>51</v>
      </c>
      <c r="E343" t="str">
        <f>VLOOKUP(D343,mappings!A:B,2,FALSE)</f>
        <v>Healthcare</v>
      </c>
      <c r="F343" t="s">
        <v>112</v>
      </c>
    </row>
    <row r="344" spans="1:6" x14ac:dyDescent="0.25">
      <c r="A344" t="s">
        <v>104</v>
      </c>
      <c r="B344" t="s">
        <v>106</v>
      </c>
      <c r="C344">
        <v>0.18</v>
      </c>
      <c r="D344" t="s">
        <v>12</v>
      </c>
      <c r="E344" t="str">
        <f>VLOOKUP(D344,mappings!A:B,2,FALSE)</f>
        <v>STEM</v>
      </c>
      <c r="F344" t="s">
        <v>112</v>
      </c>
    </row>
    <row r="345" spans="1:6" x14ac:dyDescent="0.25">
      <c r="A345" t="s">
        <v>104</v>
      </c>
      <c r="B345" t="s">
        <v>106</v>
      </c>
      <c r="C345">
        <v>0.18</v>
      </c>
      <c r="D345" t="s">
        <v>9</v>
      </c>
      <c r="E345" t="str">
        <f>VLOOKUP(D345,mappings!A:B,2,FALSE)</f>
        <v>Education</v>
      </c>
      <c r="F345" t="s">
        <v>112</v>
      </c>
    </row>
    <row r="346" spans="1:6" x14ac:dyDescent="0.25">
      <c r="A346" t="s">
        <v>104</v>
      </c>
      <c r="B346" t="s">
        <v>106</v>
      </c>
      <c r="C346">
        <v>0.18</v>
      </c>
      <c r="D346" t="s">
        <v>95</v>
      </c>
      <c r="E346" t="str">
        <f>VLOOKUP(D346,mappings!A:B,2,FALSE)</f>
        <v>STEM</v>
      </c>
      <c r="F346" t="s">
        <v>112</v>
      </c>
    </row>
    <row r="347" spans="1:6" x14ac:dyDescent="0.25">
      <c r="A347" t="s">
        <v>104</v>
      </c>
      <c r="B347" t="s">
        <v>106</v>
      </c>
      <c r="C347">
        <v>0.18</v>
      </c>
      <c r="D347" t="s">
        <v>103</v>
      </c>
      <c r="E347" t="str">
        <f>VLOOKUP(D347,mappings!A:B,2,FALSE)</f>
        <v>Healthcare</v>
      </c>
      <c r="F347" t="s">
        <v>112</v>
      </c>
    </row>
    <row r="348" spans="1:6" x14ac:dyDescent="0.25">
      <c r="A348" t="s">
        <v>104</v>
      </c>
      <c r="B348" t="s">
        <v>106</v>
      </c>
      <c r="C348">
        <v>0.18</v>
      </c>
      <c r="D348" t="s">
        <v>67</v>
      </c>
      <c r="E348" t="str">
        <f>VLOOKUP(D348,mappings!A:B,2,FALSE)</f>
        <v>Finance</v>
      </c>
      <c r="F348" t="s">
        <v>112</v>
      </c>
    </row>
    <row r="349" spans="1:6" x14ac:dyDescent="0.25">
      <c r="A349" t="s">
        <v>104</v>
      </c>
      <c r="B349" t="s">
        <v>106</v>
      </c>
      <c r="C349">
        <v>0.18</v>
      </c>
      <c r="D349" t="s">
        <v>91</v>
      </c>
      <c r="E349" t="str">
        <f>VLOOKUP(D349,mappings!A:B,2,FALSE)</f>
        <v>Finance</v>
      </c>
      <c r="F349" t="s">
        <v>112</v>
      </c>
    </row>
    <row r="350" spans="1:6" x14ac:dyDescent="0.25">
      <c r="A350" t="s">
        <v>104</v>
      </c>
      <c r="B350" t="s">
        <v>106</v>
      </c>
      <c r="C350">
        <v>0.17</v>
      </c>
      <c r="D350" t="s">
        <v>38</v>
      </c>
      <c r="E350" t="str">
        <f>VLOOKUP(D350,mappings!A:B,2,FALSE)</f>
        <v>Healthcare</v>
      </c>
      <c r="F350" t="s">
        <v>112</v>
      </c>
    </row>
    <row r="351" spans="1:6" x14ac:dyDescent="0.25">
      <c r="A351" t="s">
        <v>104</v>
      </c>
      <c r="B351" t="s">
        <v>106</v>
      </c>
      <c r="C351">
        <v>0.17</v>
      </c>
      <c r="D351" t="s">
        <v>64</v>
      </c>
      <c r="E351" t="str">
        <f>VLOOKUP(D351,mappings!A:B,2,FALSE)</f>
        <v>STEM</v>
      </c>
      <c r="F351" t="s">
        <v>112</v>
      </c>
    </row>
    <row r="352" spans="1:6" x14ac:dyDescent="0.25">
      <c r="A352" t="s">
        <v>104</v>
      </c>
      <c r="B352" t="s">
        <v>106</v>
      </c>
      <c r="C352">
        <v>0.17</v>
      </c>
      <c r="D352" t="s">
        <v>52</v>
      </c>
      <c r="E352" t="str">
        <f>VLOOKUP(D352,mappings!A:B,2,FALSE)</f>
        <v>Operations</v>
      </c>
      <c r="F352" t="s">
        <v>112</v>
      </c>
    </row>
    <row r="353" spans="1:6" x14ac:dyDescent="0.25">
      <c r="A353" t="s">
        <v>104</v>
      </c>
      <c r="B353" t="s">
        <v>106</v>
      </c>
      <c r="C353">
        <v>0.17</v>
      </c>
      <c r="D353" t="s">
        <v>31</v>
      </c>
      <c r="E353" t="str">
        <f>VLOOKUP(D353,mappings!A:B,2,FALSE)</f>
        <v>STEM</v>
      </c>
      <c r="F353" t="s">
        <v>112</v>
      </c>
    </row>
    <row r="354" spans="1:6" x14ac:dyDescent="0.25">
      <c r="A354" t="s">
        <v>104</v>
      </c>
      <c r="B354" t="s">
        <v>106</v>
      </c>
      <c r="C354">
        <v>0.17</v>
      </c>
      <c r="D354" t="s">
        <v>34</v>
      </c>
      <c r="E354" t="str">
        <f>VLOOKUP(D354,mappings!A:B,2,FALSE)</f>
        <v>STEM</v>
      </c>
      <c r="F354" t="s">
        <v>112</v>
      </c>
    </row>
    <row r="355" spans="1:6" x14ac:dyDescent="0.25">
      <c r="A355" t="s">
        <v>104</v>
      </c>
      <c r="B355" t="s">
        <v>106</v>
      </c>
      <c r="C355">
        <v>0.17</v>
      </c>
      <c r="D355" t="s">
        <v>22</v>
      </c>
      <c r="E355" t="str">
        <f>VLOOKUP(D355,mappings!A:B,2,FALSE)</f>
        <v>Management</v>
      </c>
      <c r="F355" t="s">
        <v>112</v>
      </c>
    </row>
    <row r="356" spans="1:6" x14ac:dyDescent="0.25">
      <c r="A356" t="s">
        <v>104</v>
      </c>
      <c r="B356" t="s">
        <v>106</v>
      </c>
      <c r="C356">
        <v>0.17</v>
      </c>
      <c r="D356" t="s">
        <v>59</v>
      </c>
      <c r="E356" t="str">
        <f>VLOOKUP(D356,mappings!A:B,2,FALSE)</f>
        <v>Real Estate</v>
      </c>
      <c r="F356" t="s">
        <v>112</v>
      </c>
    </row>
    <row r="357" spans="1:6" x14ac:dyDescent="0.25">
      <c r="A357" t="s">
        <v>104</v>
      </c>
      <c r="B357" t="s">
        <v>106</v>
      </c>
      <c r="C357">
        <v>0.17</v>
      </c>
      <c r="D357" t="s">
        <v>37</v>
      </c>
      <c r="E357" t="str">
        <f>VLOOKUP(D357,mappings!A:B,2,FALSE)</f>
        <v>Marketing</v>
      </c>
      <c r="F357" t="s">
        <v>112</v>
      </c>
    </row>
    <row r="358" spans="1:6" x14ac:dyDescent="0.25">
      <c r="A358" t="s">
        <v>104</v>
      </c>
      <c r="B358" t="s">
        <v>106</v>
      </c>
      <c r="C358">
        <v>0.17</v>
      </c>
      <c r="D358" t="s">
        <v>57</v>
      </c>
      <c r="E358" t="str">
        <f>VLOOKUP(D358,mappings!A:B,2,FALSE)</f>
        <v>Finance</v>
      </c>
      <c r="F358" t="s">
        <v>112</v>
      </c>
    </row>
    <row r="359" spans="1:6" x14ac:dyDescent="0.25">
      <c r="A359" t="s">
        <v>104</v>
      </c>
      <c r="B359" t="s">
        <v>106</v>
      </c>
      <c r="C359">
        <v>0.17</v>
      </c>
      <c r="D359" t="s">
        <v>28</v>
      </c>
      <c r="E359" t="str">
        <f>VLOOKUP(D359,mappings!A:B,2,FALSE)</f>
        <v>STEM</v>
      </c>
      <c r="F359" t="s">
        <v>112</v>
      </c>
    </row>
    <row r="360" spans="1:6" x14ac:dyDescent="0.25">
      <c r="A360" t="s">
        <v>104</v>
      </c>
      <c r="B360" t="s">
        <v>106</v>
      </c>
      <c r="C360">
        <v>0.17</v>
      </c>
      <c r="D360" t="s">
        <v>45</v>
      </c>
      <c r="E360" t="str">
        <f>VLOOKUP(D360,mappings!A:B,2,FALSE)</f>
        <v>Administration</v>
      </c>
      <c r="F360" t="s">
        <v>112</v>
      </c>
    </row>
    <row r="361" spans="1:6" x14ac:dyDescent="0.25">
      <c r="A361" t="s">
        <v>104</v>
      </c>
      <c r="B361" t="s">
        <v>106</v>
      </c>
      <c r="C361">
        <v>0.17</v>
      </c>
      <c r="D361" t="s">
        <v>70</v>
      </c>
      <c r="E361" t="str">
        <f>VLOOKUP(D361,mappings!A:B,2,FALSE)</f>
        <v>Operations</v>
      </c>
      <c r="F361" t="s">
        <v>112</v>
      </c>
    </row>
    <row r="362" spans="1:6" x14ac:dyDescent="0.25">
      <c r="A362" t="s">
        <v>104</v>
      </c>
      <c r="B362" t="s">
        <v>106</v>
      </c>
      <c r="C362">
        <v>0.16</v>
      </c>
      <c r="D362" t="s">
        <v>77</v>
      </c>
      <c r="E362" t="str">
        <f>VLOOKUP(D362,mappings!A:B,2,FALSE)</f>
        <v>Legal</v>
      </c>
      <c r="F362" t="s">
        <v>112</v>
      </c>
    </row>
    <row r="363" spans="1:6" x14ac:dyDescent="0.25">
      <c r="A363" t="s">
        <v>104</v>
      </c>
      <c r="B363" t="s">
        <v>106</v>
      </c>
      <c r="C363">
        <v>0.16</v>
      </c>
      <c r="D363" t="s">
        <v>78</v>
      </c>
      <c r="E363" t="str">
        <f>VLOOKUP(D363,mappings!A:B,2,FALSE)</f>
        <v>Hospitality</v>
      </c>
      <c r="F363" t="s">
        <v>112</v>
      </c>
    </row>
    <row r="364" spans="1:6" x14ac:dyDescent="0.25">
      <c r="A364" t="s">
        <v>104</v>
      </c>
      <c r="B364" t="s">
        <v>106</v>
      </c>
      <c r="C364">
        <v>0.16</v>
      </c>
      <c r="D364" t="s">
        <v>54</v>
      </c>
      <c r="E364" t="str">
        <f>VLOOKUP(D364,mappings!A:B,2,FALSE)</f>
        <v>Marketing</v>
      </c>
      <c r="F364" t="s">
        <v>112</v>
      </c>
    </row>
    <row r="365" spans="1:6" x14ac:dyDescent="0.25">
      <c r="A365" t="s">
        <v>104</v>
      </c>
      <c r="B365" t="s">
        <v>106</v>
      </c>
      <c r="C365">
        <v>0.16</v>
      </c>
      <c r="D365" t="s">
        <v>48</v>
      </c>
      <c r="E365" t="str">
        <f>VLOOKUP(D365,mappings!A:B,2,FALSE)</f>
        <v>STEM</v>
      </c>
      <c r="F365" t="s">
        <v>112</v>
      </c>
    </row>
    <row r="366" spans="1:6" x14ac:dyDescent="0.25">
      <c r="A366" t="s">
        <v>104</v>
      </c>
      <c r="B366" t="s">
        <v>106</v>
      </c>
      <c r="C366">
        <v>0.16</v>
      </c>
      <c r="D366" t="s">
        <v>100</v>
      </c>
      <c r="E366" t="str">
        <f>VLOOKUP(D366,mappings!A:B,2,FALSE)</f>
        <v>Management</v>
      </c>
      <c r="F366" t="s">
        <v>112</v>
      </c>
    </row>
    <row r="367" spans="1:6" x14ac:dyDescent="0.25">
      <c r="A367" t="s">
        <v>104</v>
      </c>
      <c r="B367" t="s">
        <v>106</v>
      </c>
      <c r="C367">
        <v>0.16</v>
      </c>
      <c r="D367" t="s">
        <v>10</v>
      </c>
      <c r="E367" t="str">
        <f>VLOOKUP(D367,mappings!A:B,2,FALSE)</f>
        <v>Healthcare</v>
      </c>
      <c r="F367" t="s">
        <v>112</v>
      </c>
    </row>
    <row r="368" spans="1:6" x14ac:dyDescent="0.25">
      <c r="A368" t="s">
        <v>104</v>
      </c>
      <c r="B368" t="s">
        <v>106</v>
      </c>
      <c r="C368">
        <v>0.16</v>
      </c>
      <c r="D368" t="s">
        <v>33</v>
      </c>
      <c r="E368" t="str">
        <f>VLOOKUP(D368,mappings!A:B,2,FALSE)</f>
        <v>Education</v>
      </c>
      <c r="F368" t="s">
        <v>112</v>
      </c>
    </row>
    <row r="369" spans="1:6" x14ac:dyDescent="0.25">
      <c r="A369" t="s">
        <v>104</v>
      </c>
      <c r="B369" t="s">
        <v>106</v>
      </c>
      <c r="C369">
        <v>0.16</v>
      </c>
      <c r="D369" t="s">
        <v>55</v>
      </c>
      <c r="E369" t="str">
        <f>VLOOKUP(D369,mappings!A:B,2,FALSE)</f>
        <v>Human Resources</v>
      </c>
      <c r="F369" t="s">
        <v>112</v>
      </c>
    </row>
    <row r="370" spans="1:6" x14ac:dyDescent="0.25">
      <c r="A370" t="s">
        <v>104</v>
      </c>
      <c r="B370" t="s">
        <v>106</v>
      </c>
      <c r="C370">
        <v>0.16</v>
      </c>
      <c r="D370" t="s">
        <v>75</v>
      </c>
      <c r="E370" t="str">
        <f>VLOOKUP(D370,mappings!A:B,2,FALSE)</f>
        <v>STEM</v>
      </c>
      <c r="F370" t="s">
        <v>112</v>
      </c>
    </row>
    <row r="371" spans="1:6" x14ac:dyDescent="0.25">
      <c r="A371" t="s">
        <v>104</v>
      </c>
      <c r="B371" t="s">
        <v>106</v>
      </c>
      <c r="C371">
        <v>0.16</v>
      </c>
      <c r="D371" t="s">
        <v>36</v>
      </c>
      <c r="E371" t="str">
        <f>VLOOKUP(D371,mappings!A:B,2,FALSE)</f>
        <v>Healthcare</v>
      </c>
      <c r="F371" t="s">
        <v>112</v>
      </c>
    </row>
    <row r="372" spans="1:6" x14ac:dyDescent="0.25">
      <c r="A372" t="s">
        <v>104</v>
      </c>
      <c r="B372" t="s">
        <v>106</v>
      </c>
      <c r="C372">
        <v>0.16</v>
      </c>
      <c r="D372" t="s">
        <v>87</v>
      </c>
      <c r="E372" t="str">
        <f>VLOOKUP(D372,mappings!A:B,2,FALSE)</f>
        <v>Trades</v>
      </c>
      <c r="F372" t="s">
        <v>112</v>
      </c>
    </row>
    <row r="373" spans="1:6" x14ac:dyDescent="0.25">
      <c r="A373" t="s">
        <v>104</v>
      </c>
      <c r="B373" t="s">
        <v>106</v>
      </c>
      <c r="C373">
        <v>0.15</v>
      </c>
      <c r="D373" t="s">
        <v>46</v>
      </c>
      <c r="E373" t="str">
        <f>VLOOKUP(D373,mappings!A:B,2,FALSE)</f>
        <v>STEM</v>
      </c>
      <c r="F373" t="s">
        <v>112</v>
      </c>
    </row>
    <row r="374" spans="1:6" x14ac:dyDescent="0.25">
      <c r="A374" t="s">
        <v>104</v>
      </c>
      <c r="B374" t="s">
        <v>106</v>
      </c>
      <c r="C374">
        <v>0.15</v>
      </c>
      <c r="D374" t="s">
        <v>71</v>
      </c>
      <c r="E374" t="str">
        <f>VLOOKUP(D374,mappings!A:B,2,FALSE)</f>
        <v>STEM</v>
      </c>
      <c r="F374" t="s">
        <v>112</v>
      </c>
    </row>
    <row r="375" spans="1:6" x14ac:dyDescent="0.25">
      <c r="A375" t="s">
        <v>104</v>
      </c>
      <c r="B375" t="s">
        <v>106</v>
      </c>
      <c r="C375">
        <v>0.15</v>
      </c>
      <c r="D375" t="s">
        <v>93</v>
      </c>
      <c r="E375" t="str">
        <f>VLOOKUP(D375,mappings!A:B,2,FALSE)</f>
        <v>Legal</v>
      </c>
      <c r="F375" t="s">
        <v>112</v>
      </c>
    </row>
    <row r="376" spans="1:6" x14ac:dyDescent="0.25">
      <c r="A376" t="s">
        <v>104</v>
      </c>
      <c r="B376" t="s">
        <v>106</v>
      </c>
      <c r="C376">
        <v>0.15</v>
      </c>
      <c r="D376" t="s">
        <v>102</v>
      </c>
      <c r="E376" t="str">
        <f>VLOOKUP(D376,mappings!A:B,2,FALSE)</f>
        <v>Operations</v>
      </c>
      <c r="F376" t="s">
        <v>112</v>
      </c>
    </row>
    <row r="377" spans="1:6" x14ac:dyDescent="0.25">
      <c r="A377" t="s">
        <v>104</v>
      </c>
      <c r="B377" t="s">
        <v>106</v>
      </c>
      <c r="C377">
        <v>0.15</v>
      </c>
      <c r="D377" t="s">
        <v>30</v>
      </c>
      <c r="E377" t="str">
        <f>VLOOKUP(D377,mappings!A:B,2,FALSE)</f>
        <v>STEM</v>
      </c>
      <c r="F377" t="s">
        <v>112</v>
      </c>
    </row>
    <row r="378" spans="1:6" x14ac:dyDescent="0.25">
      <c r="A378" t="s">
        <v>104</v>
      </c>
      <c r="B378" t="s">
        <v>106</v>
      </c>
      <c r="C378">
        <v>0.15</v>
      </c>
      <c r="D378" t="s">
        <v>65</v>
      </c>
      <c r="E378" t="str">
        <f>VLOOKUP(D378,mappings!A:B,2,FALSE)</f>
        <v>Management</v>
      </c>
      <c r="F378" t="s">
        <v>112</v>
      </c>
    </row>
    <row r="379" spans="1:6" x14ac:dyDescent="0.25">
      <c r="A379" t="s">
        <v>104</v>
      </c>
      <c r="B379" t="s">
        <v>106</v>
      </c>
      <c r="C379">
        <v>0.15</v>
      </c>
      <c r="D379" t="s">
        <v>81</v>
      </c>
      <c r="E379" t="str">
        <f>VLOOKUP(D379,mappings!A:B,2,FALSE)</f>
        <v>Legal</v>
      </c>
      <c r="F379" t="s">
        <v>112</v>
      </c>
    </row>
    <row r="380" spans="1:6" x14ac:dyDescent="0.25">
      <c r="A380" t="s">
        <v>104</v>
      </c>
      <c r="B380" t="s">
        <v>106</v>
      </c>
      <c r="C380">
        <v>0.15</v>
      </c>
      <c r="D380" t="s">
        <v>84</v>
      </c>
      <c r="E380" t="str">
        <f>VLOOKUP(D380,mappings!A:B,2,FALSE)</f>
        <v>Hospitality</v>
      </c>
      <c r="F380" t="s">
        <v>112</v>
      </c>
    </row>
    <row r="381" spans="1:6" x14ac:dyDescent="0.25">
      <c r="A381" t="s">
        <v>104</v>
      </c>
      <c r="B381" t="s">
        <v>106</v>
      </c>
      <c r="C381">
        <v>0.15</v>
      </c>
      <c r="D381" t="s">
        <v>62</v>
      </c>
      <c r="E381" t="str">
        <f>VLOOKUP(D381,mappings!A:B,2,FALSE)</f>
        <v>Marketing</v>
      </c>
      <c r="F381" t="s">
        <v>112</v>
      </c>
    </row>
    <row r="382" spans="1:6" x14ac:dyDescent="0.25">
      <c r="A382" t="s">
        <v>104</v>
      </c>
      <c r="B382" t="s">
        <v>106</v>
      </c>
      <c r="C382">
        <v>0.15</v>
      </c>
      <c r="D382" t="s">
        <v>6</v>
      </c>
      <c r="E382" t="str">
        <f>VLOOKUP(D382,mappings!A:B,2,FALSE)</f>
        <v>Hospitality</v>
      </c>
      <c r="F382" t="s">
        <v>112</v>
      </c>
    </row>
    <row r="383" spans="1:6" x14ac:dyDescent="0.25">
      <c r="A383" t="s">
        <v>104</v>
      </c>
      <c r="B383" t="s">
        <v>106</v>
      </c>
      <c r="C383">
        <v>0.14000000000000001</v>
      </c>
      <c r="D383" t="s">
        <v>56</v>
      </c>
      <c r="E383" t="str">
        <f>VLOOKUP(D383,mappings!A:B,2,FALSE)</f>
        <v>STEM</v>
      </c>
      <c r="F383" t="s">
        <v>112</v>
      </c>
    </row>
    <row r="384" spans="1:6" x14ac:dyDescent="0.25">
      <c r="A384" t="s">
        <v>104</v>
      </c>
      <c r="B384" t="s">
        <v>106</v>
      </c>
      <c r="C384">
        <v>0.14000000000000001</v>
      </c>
      <c r="D384" t="s">
        <v>74</v>
      </c>
      <c r="E384" t="str">
        <f>VLOOKUP(D384,mappings!A:B,2,FALSE)</f>
        <v>Healthcare</v>
      </c>
      <c r="F384" t="s">
        <v>112</v>
      </c>
    </row>
    <row r="385" spans="1:6" x14ac:dyDescent="0.25">
      <c r="A385" t="s">
        <v>104</v>
      </c>
      <c r="B385" t="s">
        <v>106</v>
      </c>
      <c r="C385">
        <v>0.14000000000000001</v>
      </c>
      <c r="D385" t="s">
        <v>72</v>
      </c>
      <c r="E385" t="str">
        <f>VLOOKUP(D385,mappings!A:B,2,FALSE)</f>
        <v>STEM</v>
      </c>
      <c r="F385" t="s">
        <v>112</v>
      </c>
    </row>
    <row r="386" spans="1:6" x14ac:dyDescent="0.25">
      <c r="A386" t="s">
        <v>104</v>
      </c>
      <c r="B386" t="s">
        <v>106</v>
      </c>
      <c r="C386">
        <v>0.14000000000000001</v>
      </c>
      <c r="D386" t="s">
        <v>18</v>
      </c>
      <c r="E386" t="str">
        <f>VLOOKUP(D386,mappings!A:B,2,FALSE)</f>
        <v>Finance</v>
      </c>
      <c r="F386" t="s">
        <v>112</v>
      </c>
    </row>
    <row r="387" spans="1:6" x14ac:dyDescent="0.25">
      <c r="A387" t="s">
        <v>104</v>
      </c>
      <c r="B387" t="s">
        <v>106</v>
      </c>
      <c r="C387">
        <v>0.14000000000000001</v>
      </c>
      <c r="D387" t="s">
        <v>8</v>
      </c>
      <c r="E387" t="str">
        <f>VLOOKUP(D387,mappings!A:B,2,FALSE)</f>
        <v>Healthcare</v>
      </c>
      <c r="F387" t="s">
        <v>112</v>
      </c>
    </row>
    <row r="388" spans="1:6" x14ac:dyDescent="0.25">
      <c r="A388" t="s">
        <v>104</v>
      </c>
      <c r="B388" t="s">
        <v>106</v>
      </c>
      <c r="C388">
        <v>0.14000000000000001</v>
      </c>
      <c r="D388" t="s">
        <v>82</v>
      </c>
      <c r="E388" t="str">
        <f>VLOOKUP(D388,mappings!A:B,2,FALSE)</f>
        <v>STEM</v>
      </c>
      <c r="F388" t="s">
        <v>112</v>
      </c>
    </row>
    <row r="389" spans="1:6" x14ac:dyDescent="0.25">
      <c r="A389" t="s">
        <v>104</v>
      </c>
      <c r="B389" t="s">
        <v>106</v>
      </c>
      <c r="C389">
        <v>0.14000000000000001</v>
      </c>
      <c r="D389" t="s">
        <v>101</v>
      </c>
      <c r="E389" t="str">
        <f>VLOOKUP(D389,mappings!A:B,2,FALSE)</f>
        <v>Healthcare</v>
      </c>
      <c r="F389" t="s">
        <v>112</v>
      </c>
    </row>
    <row r="390" spans="1:6" x14ac:dyDescent="0.25">
      <c r="A390" t="s">
        <v>104</v>
      </c>
      <c r="B390" t="s">
        <v>106</v>
      </c>
      <c r="C390">
        <v>0.14000000000000001</v>
      </c>
      <c r="D390" t="s">
        <v>88</v>
      </c>
      <c r="E390" t="str">
        <f>VLOOKUP(D390,mappings!A:B,2,FALSE)</f>
        <v>Healthcare</v>
      </c>
      <c r="F390" t="s">
        <v>112</v>
      </c>
    </row>
    <row r="391" spans="1:6" x14ac:dyDescent="0.25">
      <c r="A391" t="s">
        <v>104</v>
      </c>
      <c r="B391" t="s">
        <v>106</v>
      </c>
      <c r="C391">
        <v>0.14000000000000001</v>
      </c>
      <c r="D391" t="s">
        <v>53</v>
      </c>
      <c r="E391" t="str">
        <f>VLOOKUP(D391,mappings!A:B,2,FALSE)</f>
        <v>Healthcare</v>
      </c>
      <c r="F391" t="s">
        <v>112</v>
      </c>
    </row>
    <row r="392" spans="1:6" x14ac:dyDescent="0.25">
      <c r="A392" t="s">
        <v>104</v>
      </c>
      <c r="B392" t="s">
        <v>106</v>
      </c>
      <c r="C392">
        <v>0.13</v>
      </c>
      <c r="D392" t="s">
        <v>61</v>
      </c>
      <c r="E392" t="str">
        <f>VLOOKUP(D392,mappings!A:B,2,FALSE)</f>
        <v>STEM</v>
      </c>
      <c r="F392" t="s">
        <v>112</v>
      </c>
    </row>
    <row r="393" spans="1:6" x14ac:dyDescent="0.25">
      <c r="A393" t="s">
        <v>104</v>
      </c>
      <c r="B393" t="s">
        <v>106</v>
      </c>
      <c r="C393">
        <v>0.13</v>
      </c>
      <c r="D393" t="s">
        <v>26</v>
      </c>
      <c r="E393" t="str">
        <f>VLOOKUP(D393,mappings!A:B,2,FALSE)</f>
        <v>Healthcare</v>
      </c>
      <c r="F393" t="s">
        <v>112</v>
      </c>
    </row>
    <row r="394" spans="1:6" x14ac:dyDescent="0.25">
      <c r="A394" t="s">
        <v>104</v>
      </c>
      <c r="B394" t="s">
        <v>106</v>
      </c>
      <c r="C394">
        <v>0.13</v>
      </c>
      <c r="D394" t="s">
        <v>99</v>
      </c>
      <c r="E394" t="str">
        <f>VLOOKUP(D394,mappings!A:B,2,FALSE)</f>
        <v>Operations</v>
      </c>
      <c r="F394" t="s">
        <v>112</v>
      </c>
    </row>
    <row r="395" spans="1:6" x14ac:dyDescent="0.25">
      <c r="A395" t="s">
        <v>104</v>
      </c>
      <c r="B395" t="s">
        <v>106</v>
      </c>
      <c r="C395">
        <v>0.13</v>
      </c>
      <c r="D395" t="s">
        <v>83</v>
      </c>
      <c r="E395" t="str">
        <f>VLOOKUP(D395,mappings!A:B,2,FALSE)</f>
        <v>Sales</v>
      </c>
      <c r="F395" t="s">
        <v>112</v>
      </c>
    </row>
    <row r="396" spans="1:6" x14ac:dyDescent="0.25">
      <c r="A396" t="s">
        <v>104</v>
      </c>
      <c r="B396" t="s">
        <v>106</v>
      </c>
      <c r="C396">
        <v>0.12</v>
      </c>
      <c r="D396" t="s">
        <v>66</v>
      </c>
      <c r="E396" t="str">
        <f>VLOOKUP(D396,mappings!A:B,2,FALSE)</f>
        <v>Healthcare</v>
      </c>
      <c r="F396" t="s">
        <v>112</v>
      </c>
    </row>
    <row r="397" spans="1:6" x14ac:dyDescent="0.25">
      <c r="A397" t="s">
        <v>104</v>
      </c>
      <c r="B397" t="s">
        <v>106</v>
      </c>
      <c r="C397">
        <v>0.12</v>
      </c>
      <c r="D397" t="s">
        <v>97</v>
      </c>
      <c r="E397" t="str">
        <f>VLOOKUP(D397,mappings!A:B,2,FALSE)</f>
        <v>STEM</v>
      </c>
      <c r="F397" t="s">
        <v>112</v>
      </c>
    </row>
    <row r="398" spans="1:6" x14ac:dyDescent="0.25">
      <c r="A398" t="s">
        <v>104</v>
      </c>
      <c r="B398" t="s">
        <v>106</v>
      </c>
      <c r="C398">
        <v>0.12</v>
      </c>
      <c r="D398" t="s">
        <v>20</v>
      </c>
      <c r="E398" t="str">
        <f>VLOOKUP(D398,mappings!A:B,2,FALSE)</f>
        <v>Hospitality</v>
      </c>
      <c r="F398" t="s">
        <v>112</v>
      </c>
    </row>
    <row r="399" spans="1:6" x14ac:dyDescent="0.25">
      <c r="A399" t="s">
        <v>104</v>
      </c>
      <c r="B399" t="s">
        <v>106</v>
      </c>
      <c r="C399">
        <v>0.11</v>
      </c>
      <c r="D399" t="s">
        <v>79</v>
      </c>
      <c r="E399" t="str">
        <f>VLOOKUP(D399,mappings!A:B,2,FALSE)</f>
        <v>Marketing</v>
      </c>
      <c r="F399" t="s">
        <v>112</v>
      </c>
    </row>
    <row r="400" spans="1:6" x14ac:dyDescent="0.25">
      <c r="A400" t="s">
        <v>104</v>
      </c>
      <c r="B400" t="s">
        <v>106</v>
      </c>
      <c r="C400">
        <v>0.1</v>
      </c>
      <c r="D400" t="s">
        <v>96</v>
      </c>
      <c r="E400" t="str">
        <f>VLOOKUP(D400,mappings!A:B,2,FALSE)</f>
        <v>Sales</v>
      </c>
      <c r="F400" t="s">
        <v>112</v>
      </c>
    </row>
    <row r="401" spans="1:6" x14ac:dyDescent="0.25">
      <c r="A401" t="s">
        <v>104</v>
      </c>
      <c r="B401" t="s">
        <v>106</v>
      </c>
      <c r="C401">
        <v>0.09</v>
      </c>
      <c r="D401" t="s">
        <v>90</v>
      </c>
      <c r="E401" t="str">
        <f>VLOOKUP(D401,mappings!A:B,2,FALSE)</f>
        <v>Marketing</v>
      </c>
      <c r="F401" t="s">
        <v>112</v>
      </c>
    </row>
    <row r="402" spans="1:6" x14ac:dyDescent="0.25">
      <c r="A402" t="s">
        <v>104</v>
      </c>
      <c r="B402" t="s">
        <v>107</v>
      </c>
      <c r="C402">
        <v>0.27</v>
      </c>
      <c r="D402" t="s">
        <v>5</v>
      </c>
      <c r="E402" t="str">
        <f>VLOOKUP(D402,mappings!A:B,2,FALSE)</f>
        <v>Hospitality</v>
      </c>
      <c r="F402" t="s">
        <v>112</v>
      </c>
    </row>
    <row r="403" spans="1:6" x14ac:dyDescent="0.25">
      <c r="A403" t="s">
        <v>104</v>
      </c>
      <c r="B403" t="s">
        <v>107</v>
      </c>
      <c r="C403">
        <v>0.27</v>
      </c>
      <c r="D403" t="s">
        <v>7</v>
      </c>
      <c r="E403" t="str">
        <f>VLOOKUP(D403,mappings!A:B,2,FALSE)</f>
        <v>Legal</v>
      </c>
      <c r="F403" t="s">
        <v>112</v>
      </c>
    </row>
    <row r="404" spans="1:6" x14ac:dyDescent="0.25">
      <c r="A404" t="s">
        <v>104</v>
      </c>
      <c r="B404" t="s">
        <v>107</v>
      </c>
      <c r="C404">
        <v>0.24</v>
      </c>
      <c r="D404" t="s">
        <v>4</v>
      </c>
      <c r="E404" t="str">
        <f>VLOOKUP(D404,mappings!A:B,2,FALSE)</f>
        <v>Creative</v>
      </c>
      <c r="F404" t="s">
        <v>112</v>
      </c>
    </row>
    <row r="405" spans="1:6" x14ac:dyDescent="0.25">
      <c r="A405" t="s">
        <v>104</v>
      </c>
      <c r="B405" t="s">
        <v>107</v>
      </c>
      <c r="C405">
        <v>0.23</v>
      </c>
      <c r="D405" t="s">
        <v>16</v>
      </c>
      <c r="E405" t="str">
        <f>VLOOKUP(D405,mappings!A:B,2,FALSE)</f>
        <v>Finance</v>
      </c>
      <c r="F405" t="s">
        <v>112</v>
      </c>
    </row>
    <row r="406" spans="1:6" x14ac:dyDescent="0.25">
      <c r="A406" t="s">
        <v>104</v>
      </c>
      <c r="B406" t="s">
        <v>107</v>
      </c>
      <c r="C406">
        <v>0.22</v>
      </c>
      <c r="D406" t="s">
        <v>19</v>
      </c>
      <c r="E406" t="str">
        <f>VLOOKUP(D406,mappings!A:B,2,FALSE)</f>
        <v>Finance</v>
      </c>
      <c r="F406" t="s">
        <v>112</v>
      </c>
    </row>
    <row r="407" spans="1:6" x14ac:dyDescent="0.25">
      <c r="A407" t="s">
        <v>104</v>
      </c>
      <c r="B407" t="s">
        <v>107</v>
      </c>
      <c r="C407">
        <v>0.21</v>
      </c>
      <c r="D407" t="s">
        <v>13</v>
      </c>
      <c r="E407" t="str">
        <f>VLOOKUP(D407,mappings!A:B,2,FALSE)</f>
        <v>Administration</v>
      </c>
      <c r="F407" t="s">
        <v>112</v>
      </c>
    </row>
    <row r="408" spans="1:6" x14ac:dyDescent="0.25">
      <c r="A408" t="s">
        <v>104</v>
      </c>
      <c r="B408" t="s">
        <v>107</v>
      </c>
      <c r="C408">
        <v>0.2</v>
      </c>
      <c r="D408" t="s">
        <v>22</v>
      </c>
      <c r="E408" t="str">
        <f>VLOOKUP(D408,mappings!A:B,2,FALSE)</f>
        <v>Management</v>
      </c>
      <c r="F408" t="s">
        <v>112</v>
      </c>
    </row>
    <row r="409" spans="1:6" x14ac:dyDescent="0.25">
      <c r="A409" t="s">
        <v>104</v>
      </c>
      <c r="B409" t="s">
        <v>107</v>
      </c>
      <c r="C409">
        <v>0.2</v>
      </c>
      <c r="D409" t="s">
        <v>86</v>
      </c>
      <c r="E409" t="str">
        <f>VLOOKUP(D409,mappings!A:B,2,FALSE)</f>
        <v>Finance</v>
      </c>
      <c r="F409" t="s">
        <v>112</v>
      </c>
    </row>
    <row r="410" spans="1:6" x14ac:dyDescent="0.25">
      <c r="A410" t="s">
        <v>104</v>
      </c>
      <c r="B410" t="s">
        <v>107</v>
      </c>
      <c r="C410">
        <v>0.2</v>
      </c>
      <c r="D410" t="s">
        <v>76</v>
      </c>
      <c r="E410" t="str">
        <f>VLOOKUP(D410,mappings!A:B,2,FALSE)</f>
        <v>Real Estate</v>
      </c>
      <c r="F410" t="s">
        <v>112</v>
      </c>
    </row>
    <row r="411" spans="1:6" x14ac:dyDescent="0.25">
      <c r="A411" t="s">
        <v>104</v>
      </c>
      <c r="B411" t="s">
        <v>107</v>
      </c>
      <c r="C411">
        <v>0.2</v>
      </c>
      <c r="D411" t="s">
        <v>47</v>
      </c>
      <c r="E411" t="str">
        <f>VLOOKUP(D411,mappings!A:B,2,FALSE)</f>
        <v>Legal</v>
      </c>
      <c r="F411" t="s">
        <v>112</v>
      </c>
    </row>
    <row r="412" spans="1:6" x14ac:dyDescent="0.25">
      <c r="A412" t="s">
        <v>104</v>
      </c>
      <c r="B412" t="s">
        <v>107</v>
      </c>
      <c r="C412">
        <v>0.2</v>
      </c>
      <c r="D412" t="s">
        <v>27</v>
      </c>
      <c r="E412" t="str">
        <f>VLOOKUP(D412,mappings!A:B,2,FALSE)</f>
        <v>Management</v>
      </c>
      <c r="F412" t="s">
        <v>112</v>
      </c>
    </row>
    <row r="413" spans="1:6" x14ac:dyDescent="0.25">
      <c r="A413" t="s">
        <v>104</v>
      </c>
      <c r="B413" t="s">
        <v>107</v>
      </c>
      <c r="C413">
        <v>0.2</v>
      </c>
      <c r="D413" t="s">
        <v>50</v>
      </c>
      <c r="E413" t="str">
        <f>VLOOKUP(D413,mappings!A:B,2,FALSE)</f>
        <v>Education</v>
      </c>
      <c r="F413" t="s">
        <v>112</v>
      </c>
    </row>
    <row r="414" spans="1:6" x14ac:dyDescent="0.25">
      <c r="A414" t="s">
        <v>104</v>
      </c>
      <c r="B414" t="s">
        <v>107</v>
      </c>
      <c r="C414">
        <v>0.19</v>
      </c>
      <c r="D414" t="s">
        <v>24</v>
      </c>
      <c r="E414" t="str">
        <f>VLOOKUP(D414,mappings!A:B,2,FALSE)</f>
        <v>Education</v>
      </c>
      <c r="F414" t="s">
        <v>112</v>
      </c>
    </row>
    <row r="415" spans="1:6" x14ac:dyDescent="0.25">
      <c r="A415" t="s">
        <v>104</v>
      </c>
      <c r="B415" t="s">
        <v>107</v>
      </c>
      <c r="C415">
        <v>0.19</v>
      </c>
      <c r="D415" t="s">
        <v>35</v>
      </c>
      <c r="E415" t="str">
        <f>VLOOKUP(D415,mappings!A:B,2,FALSE)</f>
        <v>Education</v>
      </c>
      <c r="F415" t="s">
        <v>112</v>
      </c>
    </row>
    <row r="416" spans="1:6" x14ac:dyDescent="0.25">
      <c r="A416" t="s">
        <v>104</v>
      </c>
      <c r="B416" t="s">
        <v>107</v>
      </c>
      <c r="C416">
        <v>0.19</v>
      </c>
      <c r="D416" t="s">
        <v>57</v>
      </c>
      <c r="E416" t="str">
        <f>VLOOKUP(D416,mappings!A:B,2,FALSE)</f>
        <v>Finance</v>
      </c>
      <c r="F416" t="s">
        <v>112</v>
      </c>
    </row>
    <row r="417" spans="1:6" x14ac:dyDescent="0.25">
      <c r="A417" t="s">
        <v>104</v>
      </c>
      <c r="B417" t="s">
        <v>107</v>
      </c>
      <c r="C417">
        <v>0.18</v>
      </c>
      <c r="D417" t="s">
        <v>20</v>
      </c>
      <c r="E417" t="str">
        <f>VLOOKUP(D417,mappings!A:B,2,FALSE)</f>
        <v>Hospitality</v>
      </c>
      <c r="F417" t="s">
        <v>112</v>
      </c>
    </row>
    <row r="418" spans="1:6" x14ac:dyDescent="0.25">
      <c r="A418" t="s">
        <v>104</v>
      </c>
      <c r="B418" t="s">
        <v>107</v>
      </c>
      <c r="C418">
        <v>0.18</v>
      </c>
      <c r="D418" t="s">
        <v>39</v>
      </c>
      <c r="E418" t="str">
        <f>VLOOKUP(D418,mappings!A:B,2,FALSE)</f>
        <v>Administration</v>
      </c>
      <c r="F418" t="s">
        <v>112</v>
      </c>
    </row>
    <row r="419" spans="1:6" x14ac:dyDescent="0.25">
      <c r="A419" t="s">
        <v>104</v>
      </c>
      <c r="B419" t="s">
        <v>107</v>
      </c>
      <c r="C419">
        <v>0.18</v>
      </c>
      <c r="D419" t="s">
        <v>63</v>
      </c>
      <c r="E419" t="str">
        <f>VLOOKUP(D419,mappings!A:B,2,FALSE)</f>
        <v>Finance</v>
      </c>
      <c r="F419" t="s">
        <v>112</v>
      </c>
    </row>
    <row r="420" spans="1:6" x14ac:dyDescent="0.25">
      <c r="A420" t="s">
        <v>104</v>
      </c>
      <c r="B420" t="s">
        <v>107</v>
      </c>
      <c r="C420">
        <v>0.18</v>
      </c>
      <c r="D420" t="s">
        <v>37</v>
      </c>
      <c r="E420" t="str">
        <f>VLOOKUP(D420,mappings!A:B,2,FALSE)</f>
        <v>Marketing</v>
      </c>
      <c r="F420" t="s">
        <v>112</v>
      </c>
    </row>
    <row r="421" spans="1:6" x14ac:dyDescent="0.25">
      <c r="A421" t="s">
        <v>104</v>
      </c>
      <c r="B421" t="s">
        <v>107</v>
      </c>
      <c r="C421">
        <v>0.18</v>
      </c>
      <c r="D421" t="s">
        <v>17</v>
      </c>
      <c r="E421" t="str">
        <f>VLOOKUP(D421,mappings!A:B,2,FALSE)</f>
        <v>Sales</v>
      </c>
      <c r="F421" t="s">
        <v>112</v>
      </c>
    </row>
    <row r="422" spans="1:6" x14ac:dyDescent="0.25">
      <c r="A422" t="s">
        <v>104</v>
      </c>
      <c r="B422" t="s">
        <v>107</v>
      </c>
      <c r="C422">
        <v>0.18</v>
      </c>
      <c r="D422" t="s">
        <v>23</v>
      </c>
      <c r="E422" t="str">
        <f>VLOOKUP(D422,mappings!A:B,2,FALSE)</f>
        <v>Creative</v>
      </c>
      <c r="F422" t="s">
        <v>112</v>
      </c>
    </row>
    <row r="423" spans="1:6" x14ac:dyDescent="0.25">
      <c r="A423" t="s">
        <v>104</v>
      </c>
      <c r="B423" t="s">
        <v>107</v>
      </c>
      <c r="C423">
        <v>0.18</v>
      </c>
      <c r="D423" t="s">
        <v>14</v>
      </c>
      <c r="E423" t="str">
        <f>VLOOKUP(D423,mappings!A:B,2,FALSE)</f>
        <v>Creative</v>
      </c>
      <c r="F423" t="s">
        <v>112</v>
      </c>
    </row>
    <row r="424" spans="1:6" x14ac:dyDescent="0.25">
      <c r="A424" t="s">
        <v>104</v>
      </c>
      <c r="B424" t="s">
        <v>107</v>
      </c>
      <c r="C424">
        <v>0.18</v>
      </c>
      <c r="D424" t="s">
        <v>25</v>
      </c>
      <c r="E424" t="str">
        <f>VLOOKUP(D424,mappings!A:B,2,FALSE)</f>
        <v>Creative</v>
      </c>
      <c r="F424" t="s">
        <v>112</v>
      </c>
    </row>
    <row r="425" spans="1:6" x14ac:dyDescent="0.25">
      <c r="A425" t="s">
        <v>104</v>
      </c>
      <c r="B425" t="s">
        <v>107</v>
      </c>
      <c r="C425">
        <v>0.17</v>
      </c>
      <c r="D425" t="s">
        <v>85</v>
      </c>
      <c r="E425" t="str">
        <f>VLOOKUP(D425,mappings!A:B,2,FALSE)</f>
        <v>STEM</v>
      </c>
      <c r="F425" t="s">
        <v>112</v>
      </c>
    </row>
    <row r="426" spans="1:6" x14ac:dyDescent="0.25">
      <c r="A426" t="s">
        <v>104</v>
      </c>
      <c r="B426" t="s">
        <v>107</v>
      </c>
      <c r="C426">
        <v>0.17</v>
      </c>
      <c r="D426" t="s">
        <v>32</v>
      </c>
      <c r="E426" t="str">
        <f>VLOOKUP(D426,mappings!A:B,2,FALSE)</f>
        <v>Human Resources</v>
      </c>
      <c r="F426" t="s">
        <v>112</v>
      </c>
    </row>
    <row r="427" spans="1:6" x14ac:dyDescent="0.25">
      <c r="A427" t="s">
        <v>104</v>
      </c>
      <c r="B427" t="s">
        <v>107</v>
      </c>
      <c r="C427">
        <v>0.17</v>
      </c>
      <c r="D427" t="s">
        <v>94</v>
      </c>
      <c r="E427" t="str">
        <f>VLOOKUP(D427,mappings!A:B,2,FALSE)</f>
        <v>Management</v>
      </c>
      <c r="F427" t="s">
        <v>112</v>
      </c>
    </row>
    <row r="428" spans="1:6" x14ac:dyDescent="0.25">
      <c r="A428" t="s">
        <v>104</v>
      </c>
      <c r="B428" t="s">
        <v>107</v>
      </c>
      <c r="C428">
        <v>0.17</v>
      </c>
      <c r="D428" t="s">
        <v>52</v>
      </c>
      <c r="E428" t="str">
        <f>VLOOKUP(D428,mappings!A:B,2,FALSE)</f>
        <v>Operations</v>
      </c>
      <c r="F428" t="s">
        <v>112</v>
      </c>
    </row>
    <row r="429" spans="1:6" x14ac:dyDescent="0.25">
      <c r="A429" t="s">
        <v>104</v>
      </c>
      <c r="B429" t="s">
        <v>107</v>
      </c>
      <c r="C429">
        <v>0.17</v>
      </c>
      <c r="D429" t="s">
        <v>11</v>
      </c>
      <c r="E429" t="str">
        <f>VLOOKUP(D429,mappings!A:B,2,FALSE)</f>
        <v>Human Resources</v>
      </c>
      <c r="F429" t="s">
        <v>112</v>
      </c>
    </row>
    <row r="430" spans="1:6" x14ac:dyDescent="0.25">
      <c r="A430" t="s">
        <v>104</v>
      </c>
      <c r="B430" t="s">
        <v>107</v>
      </c>
      <c r="C430">
        <v>0.17</v>
      </c>
      <c r="D430" t="s">
        <v>42</v>
      </c>
      <c r="E430" t="str">
        <f>VLOOKUP(D430,mappings!A:B,2,FALSE)</f>
        <v>Healthcare</v>
      </c>
      <c r="F430" t="s">
        <v>112</v>
      </c>
    </row>
    <row r="431" spans="1:6" x14ac:dyDescent="0.25">
      <c r="A431" t="s">
        <v>104</v>
      </c>
      <c r="B431" t="s">
        <v>107</v>
      </c>
      <c r="C431">
        <v>0.17</v>
      </c>
      <c r="D431" t="s">
        <v>41</v>
      </c>
      <c r="E431" t="str">
        <f>VLOOKUP(D431,mappings!A:B,2,FALSE)</f>
        <v>Healthcare</v>
      </c>
      <c r="F431" t="s">
        <v>112</v>
      </c>
    </row>
    <row r="432" spans="1:6" x14ac:dyDescent="0.25">
      <c r="A432" t="s">
        <v>104</v>
      </c>
      <c r="B432" t="s">
        <v>107</v>
      </c>
      <c r="C432">
        <v>0.17</v>
      </c>
      <c r="D432" t="s">
        <v>59</v>
      </c>
      <c r="E432" t="str">
        <f>VLOOKUP(D432,mappings!A:B,2,FALSE)</f>
        <v>Real Estate</v>
      </c>
      <c r="F432" t="s">
        <v>112</v>
      </c>
    </row>
    <row r="433" spans="1:6" x14ac:dyDescent="0.25">
      <c r="A433" t="s">
        <v>104</v>
      </c>
      <c r="B433" t="s">
        <v>107</v>
      </c>
      <c r="C433">
        <v>0.17</v>
      </c>
      <c r="D433" t="s">
        <v>60</v>
      </c>
      <c r="E433" t="str">
        <f>VLOOKUP(D433,mappings!A:B,2,FALSE)</f>
        <v>Finance</v>
      </c>
      <c r="F433" t="s">
        <v>112</v>
      </c>
    </row>
    <row r="434" spans="1:6" x14ac:dyDescent="0.25">
      <c r="A434" t="s">
        <v>104</v>
      </c>
      <c r="B434" t="s">
        <v>107</v>
      </c>
      <c r="C434">
        <v>0.17</v>
      </c>
      <c r="D434" t="s">
        <v>21</v>
      </c>
      <c r="E434" t="str">
        <f>VLOOKUP(D434,mappings!A:B,2,FALSE)</f>
        <v>Trades</v>
      </c>
      <c r="F434" t="s">
        <v>112</v>
      </c>
    </row>
    <row r="435" spans="1:6" x14ac:dyDescent="0.25">
      <c r="A435" t="s">
        <v>104</v>
      </c>
      <c r="B435" t="s">
        <v>107</v>
      </c>
      <c r="C435">
        <v>0.17</v>
      </c>
      <c r="D435" t="s">
        <v>44</v>
      </c>
      <c r="E435" t="str">
        <f>VLOOKUP(D435,mappings!A:B,2,FALSE)</f>
        <v>Healthcare</v>
      </c>
      <c r="F435" t="s">
        <v>112</v>
      </c>
    </row>
    <row r="436" spans="1:6" x14ac:dyDescent="0.25">
      <c r="A436" t="s">
        <v>104</v>
      </c>
      <c r="B436" t="s">
        <v>107</v>
      </c>
      <c r="C436">
        <v>0.17</v>
      </c>
      <c r="D436" t="s">
        <v>73</v>
      </c>
      <c r="E436" t="str">
        <f>VLOOKUP(D436,mappings!A:B,2,FALSE)</f>
        <v>Finance</v>
      </c>
      <c r="F436" t="s">
        <v>112</v>
      </c>
    </row>
    <row r="437" spans="1:6" x14ac:dyDescent="0.25">
      <c r="A437" t="s">
        <v>104</v>
      </c>
      <c r="B437" t="s">
        <v>107</v>
      </c>
      <c r="C437">
        <v>0.16</v>
      </c>
      <c r="D437" t="s">
        <v>58</v>
      </c>
      <c r="E437" t="str">
        <f>VLOOKUP(D437,mappings!A:B,2,FALSE)</f>
        <v>Education</v>
      </c>
      <c r="F437" t="s">
        <v>112</v>
      </c>
    </row>
    <row r="438" spans="1:6" x14ac:dyDescent="0.25">
      <c r="A438" t="s">
        <v>104</v>
      </c>
      <c r="B438" t="s">
        <v>107</v>
      </c>
      <c r="C438">
        <v>0.16</v>
      </c>
      <c r="D438" t="s">
        <v>29</v>
      </c>
      <c r="E438" t="str">
        <f>VLOOKUP(D438,mappings!A:B,2,FALSE)</f>
        <v>Creative</v>
      </c>
      <c r="F438" t="s">
        <v>112</v>
      </c>
    </row>
    <row r="439" spans="1:6" x14ac:dyDescent="0.25">
      <c r="A439" t="s">
        <v>104</v>
      </c>
      <c r="B439" t="s">
        <v>107</v>
      </c>
      <c r="C439">
        <v>0.16</v>
      </c>
      <c r="D439" t="s">
        <v>26</v>
      </c>
      <c r="E439" t="str">
        <f>VLOOKUP(D439,mappings!A:B,2,FALSE)</f>
        <v>Healthcare</v>
      </c>
      <c r="F439" t="s">
        <v>112</v>
      </c>
    </row>
    <row r="440" spans="1:6" x14ac:dyDescent="0.25">
      <c r="A440" t="s">
        <v>104</v>
      </c>
      <c r="B440" t="s">
        <v>107</v>
      </c>
      <c r="C440">
        <v>0.16</v>
      </c>
      <c r="D440" t="s">
        <v>68</v>
      </c>
      <c r="E440" t="str">
        <f>VLOOKUP(D440,mappings!A:B,2,FALSE)</f>
        <v>STEM</v>
      </c>
      <c r="F440" t="s">
        <v>112</v>
      </c>
    </row>
    <row r="441" spans="1:6" x14ac:dyDescent="0.25">
      <c r="A441" t="s">
        <v>104</v>
      </c>
      <c r="B441" t="s">
        <v>107</v>
      </c>
      <c r="C441">
        <v>0.16</v>
      </c>
      <c r="D441" t="s">
        <v>30</v>
      </c>
      <c r="E441" t="str">
        <f>VLOOKUP(D441,mappings!A:B,2,FALSE)</f>
        <v>STEM</v>
      </c>
      <c r="F441" t="s">
        <v>112</v>
      </c>
    </row>
    <row r="442" spans="1:6" x14ac:dyDescent="0.25">
      <c r="A442" t="s">
        <v>104</v>
      </c>
      <c r="B442" t="s">
        <v>107</v>
      </c>
      <c r="C442">
        <v>0.16</v>
      </c>
      <c r="D442" t="s">
        <v>91</v>
      </c>
      <c r="E442" t="str">
        <f>VLOOKUP(D442,mappings!A:B,2,FALSE)</f>
        <v>Finance</v>
      </c>
      <c r="F442" t="s">
        <v>112</v>
      </c>
    </row>
    <row r="443" spans="1:6" x14ac:dyDescent="0.25">
      <c r="A443" t="s">
        <v>104</v>
      </c>
      <c r="B443" t="s">
        <v>107</v>
      </c>
      <c r="C443">
        <v>0.16</v>
      </c>
      <c r="D443" t="s">
        <v>65</v>
      </c>
      <c r="E443" t="str">
        <f>VLOOKUP(D443,mappings!A:B,2,FALSE)</f>
        <v>Management</v>
      </c>
      <c r="F443" t="s">
        <v>112</v>
      </c>
    </row>
    <row r="444" spans="1:6" x14ac:dyDescent="0.25">
      <c r="A444" t="s">
        <v>104</v>
      </c>
      <c r="B444" t="s">
        <v>107</v>
      </c>
      <c r="C444">
        <v>0.16</v>
      </c>
      <c r="D444" t="s">
        <v>49</v>
      </c>
      <c r="E444" t="str">
        <f>VLOOKUP(D444,mappings!A:B,2,FALSE)</f>
        <v>Healthcare</v>
      </c>
      <c r="F444" t="s">
        <v>112</v>
      </c>
    </row>
    <row r="445" spans="1:6" x14ac:dyDescent="0.25">
      <c r="A445" t="s">
        <v>104</v>
      </c>
      <c r="B445" t="s">
        <v>107</v>
      </c>
      <c r="C445">
        <v>0.16</v>
      </c>
      <c r="D445" t="s">
        <v>43</v>
      </c>
      <c r="E445" t="str">
        <f>VLOOKUP(D445,mappings!A:B,2,FALSE)</f>
        <v>Management</v>
      </c>
      <c r="F445" t="s">
        <v>112</v>
      </c>
    </row>
    <row r="446" spans="1:6" x14ac:dyDescent="0.25">
      <c r="A446" t="s">
        <v>104</v>
      </c>
      <c r="B446" t="s">
        <v>107</v>
      </c>
      <c r="C446">
        <v>0.16</v>
      </c>
      <c r="D446" t="s">
        <v>92</v>
      </c>
      <c r="E446" t="str">
        <f>VLOOKUP(D446,mappings!A:B,2,FALSE)</f>
        <v>Management</v>
      </c>
      <c r="F446" t="s">
        <v>112</v>
      </c>
    </row>
    <row r="447" spans="1:6" x14ac:dyDescent="0.25">
      <c r="A447" t="s">
        <v>104</v>
      </c>
      <c r="B447" t="s">
        <v>107</v>
      </c>
      <c r="C447">
        <v>0.16</v>
      </c>
      <c r="D447" t="s">
        <v>15</v>
      </c>
      <c r="E447" t="str">
        <f>VLOOKUP(D447,mappings!A:B,2,FALSE)</f>
        <v>Trades</v>
      </c>
      <c r="F447" t="s">
        <v>112</v>
      </c>
    </row>
    <row r="448" spans="1:6" x14ac:dyDescent="0.25">
      <c r="A448" t="s">
        <v>104</v>
      </c>
      <c r="B448" t="s">
        <v>107</v>
      </c>
      <c r="C448">
        <v>0.16</v>
      </c>
      <c r="D448" t="s">
        <v>77</v>
      </c>
      <c r="E448" t="str">
        <f>VLOOKUP(D448,mappings!A:B,2,FALSE)</f>
        <v>Legal</v>
      </c>
      <c r="F448" t="s">
        <v>112</v>
      </c>
    </row>
    <row r="449" spans="1:6" x14ac:dyDescent="0.25">
      <c r="A449" t="s">
        <v>104</v>
      </c>
      <c r="B449" t="s">
        <v>107</v>
      </c>
      <c r="C449">
        <v>0.16</v>
      </c>
      <c r="D449" t="s">
        <v>95</v>
      </c>
      <c r="E449" t="str">
        <f>VLOOKUP(D449,mappings!A:B,2,FALSE)</f>
        <v>STEM</v>
      </c>
      <c r="F449" t="s">
        <v>112</v>
      </c>
    </row>
    <row r="450" spans="1:6" x14ac:dyDescent="0.25">
      <c r="A450" t="s">
        <v>104</v>
      </c>
      <c r="B450" t="s">
        <v>107</v>
      </c>
      <c r="C450">
        <v>0.16</v>
      </c>
      <c r="D450" t="s">
        <v>80</v>
      </c>
      <c r="E450" t="str">
        <f>VLOOKUP(D450,mappings!A:B,2,FALSE)</f>
        <v>Hospitality</v>
      </c>
      <c r="F450" t="s">
        <v>112</v>
      </c>
    </row>
    <row r="451" spans="1:6" x14ac:dyDescent="0.25">
      <c r="A451" t="s">
        <v>104</v>
      </c>
      <c r="B451" t="s">
        <v>107</v>
      </c>
      <c r="C451">
        <v>0.15</v>
      </c>
      <c r="D451" t="s">
        <v>51</v>
      </c>
      <c r="E451" t="str">
        <f>VLOOKUP(D451,mappings!A:B,2,FALSE)</f>
        <v>Healthcare</v>
      </c>
      <c r="F451" t="s">
        <v>112</v>
      </c>
    </row>
    <row r="452" spans="1:6" x14ac:dyDescent="0.25">
      <c r="A452" t="s">
        <v>104</v>
      </c>
      <c r="B452" t="s">
        <v>107</v>
      </c>
      <c r="C452">
        <v>0.15</v>
      </c>
      <c r="D452" t="s">
        <v>98</v>
      </c>
      <c r="E452" t="str">
        <f>VLOOKUP(D452,mappings!A:B,2,FALSE)</f>
        <v>STEM</v>
      </c>
      <c r="F452" t="s">
        <v>112</v>
      </c>
    </row>
    <row r="453" spans="1:6" x14ac:dyDescent="0.25">
      <c r="A453" t="s">
        <v>104</v>
      </c>
      <c r="B453" t="s">
        <v>107</v>
      </c>
      <c r="C453">
        <v>0.15</v>
      </c>
      <c r="D453" t="s">
        <v>12</v>
      </c>
      <c r="E453" t="str">
        <f>VLOOKUP(D453,mappings!A:B,2,FALSE)</f>
        <v>STEM</v>
      </c>
      <c r="F453" t="s">
        <v>112</v>
      </c>
    </row>
    <row r="454" spans="1:6" x14ac:dyDescent="0.25">
      <c r="A454" t="s">
        <v>104</v>
      </c>
      <c r="B454" t="s">
        <v>107</v>
      </c>
      <c r="C454">
        <v>0.15</v>
      </c>
      <c r="D454" t="s">
        <v>84</v>
      </c>
      <c r="E454" t="str">
        <f>VLOOKUP(D454,mappings!A:B,2,FALSE)</f>
        <v>Hospitality</v>
      </c>
      <c r="F454" t="s">
        <v>112</v>
      </c>
    </row>
    <row r="455" spans="1:6" x14ac:dyDescent="0.25">
      <c r="A455" t="s">
        <v>104</v>
      </c>
      <c r="B455" t="s">
        <v>107</v>
      </c>
      <c r="C455">
        <v>0.15</v>
      </c>
      <c r="D455" t="s">
        <v>6</v>
      </c>
      <c r="E455" t="str">
        <f>VLOOKUP(D455,mappings!A:B,2,FALSE)</f>
        <v>Hospitality</v>
      </c>
      <c r="F455" t="s">
        <v>112</v>
      </c>
    </row>
    <row r="456" spans="1:6" x14ac:dyDescent="0.25">
      <c r="A456" t="s">
        <v>104</v>
      </c>
      <c r="B456" t="s">
        <v>107</v>
      </c>
      <c r="C456">
        <v>0.15</v>
      </c>
      <c r="D456" t="s">
        <v>101</v>
      </c>
      <c r="E456" t="str">
        <f>VLOOKUP(D456,mappings!A:B,2,FALSE)</f>
        <v>Healthcare</v>
      </c>
      <c r="F456" t="s">
        <v>112</v>
      </c>
    </row>
    <row r="457" spans="1:6" x14ac:dyDescent="0.25">
      <c r="A457" t="s">
        <v>104</v>
      </c>
      <c r="B457" t="s">
        <v>107</v>
      </c>
      <c r="C457">
        <v>0.15</v>
      </c>
      <c r="D457" t="s">
        <v>67</v>
      </c>
      <c r="E457" t="str">
        <f>VLOOKUP(D457,mappings!A:B,2,FALSE)</f>
        <v>Finance</v>
      </c>
      <c r="F457" t="s">
        <v>112</v>
      </c>
    </row>
    <row r="458" spans="1:6" x14ac:dyDescent="0.25">
      <c r="A458" t="s">
        <v>104</v>
      </c>
      <c r="B458" t="s">
        <v>107</v>
      </c>
      <c r="C458">
        <v>0.15</v>
      </c>
      <c r="D458" t="s">
        <v>40</v>
      </c>
      <c r="E458" t="str">
        <f>VLOOKUP(D458,mappings!A:B,2,FALSE)</f>
        <v>STEM</v>
      </c>
      <c r="F458" t="s">
        <v>112</v>
      </c>
    </row>
    <row r="459" spans="1:6" x14ac:dyDescent="0.25">
      <c r="A459" t="s">
        <v>104</v>
      </c>
      <c r="B459" t="s">
        <v>107</v>
      </c>
      <c r="C459">
        <v>0.15</v>
      </c>
      <c r="D459" t="s">
        <v>66</v>
      </c>
      <c r="E459" t="str">
        <f>VLOOKUP(D459,mappings!A:B,2,FALSE)</f>
        <v>Healthcare</v>
      </c>
      <c r="F459" t="s">
        <v>112</v>
      </c>
    </row>
    <row r="460" spans="1:6" x14ac:dyDescent="0.25">
      <c r="A460" t="s">
        <v>104</v>
      </c>
      <c r="B460" t="s">
        <v>107</v>
      </c>
      <c r="C460">
        <v>0.15</v>
      </c>
      <c r="D460" t="s">
        <v>100</v>
      </c>
      <c r="E460" t="str">
        <f>VLOOKUP(D460,mappings!A:B,2,FALSE)</f>
        <v>Management</v>
      </c>
      <c r="F460" t="s">
        <v>112</v>
      </c>
    </row>
    <row r="461" spans="1:6" x14ac:dyDescent="0.25">
      <c r="A461" t="s">
        <v>104</v>
      </c>
      <c r="B461" t="s">
        <v>107</v>
      </c>
      <c r="C461">
        <v>0.15</v>
      </c>
      <c r="D461" t="s">
        <v>38</v>
      </c>
      <c r="E461" t="str">
        <f>VLOOKUP(D461,mappings!A:B,2,FALSE)</f>
        <v>Healthcare</v>
      </c>
      <c r="F461" t="s">
        <v>112</v>
      </c>
    </row>
    <row r="462" spans="1:6" x14ac:dyDescent="0.25">
      <c r="A462" t="s">
        <v>104</v>
      </c>
      <c r="B462" t="s">
        <v>107</v>
      </c>
      <c r="C462">
        <v>0.15</v>
      </c>
      <c r="D462" t="s">
        <v>71</v>
      </c>
      <c r="E462" t="str">
        <f>VLOOKUP(D462,mappings!A:B,2,FALSE)</f>
        <v>STEM</v>
      </c>
      <c r="F462" t="s">
        <v>112</v>
      </c>
    </row>
    <row r="463" spans="1:6" x14ac:dyDescent="0.25">
      <c r="A463" t="s">
        <v>104</v>
      </c>
      <c r="B463" t="s">
        <v>107</v>
      </c>
      <c r="C463">
        <v>0.15</v>
      </c>
      <c r="D463" t="s">
        <v>33</v>
      </c>
      <c r="E463" t="str">
        <f>VLOOKUP(D463,mappings!A:B,2,FALSE)</f>
        <v>Education</v>
      </c>
      <c r="F463" t="s">
        <v>112</v>
      </c>
    </row>
    <row r="464" spans="1:6" x14ac:dyDescent="0.25">
      <c r="A464" t="s">
        <v>104</v>
      </c>
      <c r="B464" t="s">
        <v>107</v>
      </c>
      <c r="C464">
        <v>0.15</v>
      </c>
      <c r="D464" t="s">
        <v>62</v>
      </c>
      <c r="E464" t="str">
        <f>VLOOKUP(D464,mappings!A:B,2,FALSE)</f>
        <v>Marketing</v>
      </c>
      <c r="F464" t="s">
        <v>112</v>
      </c>
    </row>
    <row r="465" spans="1:6" x14ac:dyDescent="0.25">
      <c r="A465" t="s">
        <v>104</v>
      </c>
      <c r="B465" t="s">
        <v>107</v>
      </c>
      <c r="C465">
        <v>0.15</v>
      </c>
      <c r="D465" t="s">
        <v>69</v>
      </c>
      <c r="E465" t="str">
        <f>VLOOKUP(D465,mappings!A:B,2,FALSE)</f>
        <v>Hospitality</v>
      </c>
      <c r="F465" t="s">
        <v>112</v>
      </c>
    </row>
    <row r="466" spans="1:6" x14ac:dyDescent="0.25">
      <c r="A466" t="s">
        <v>104</v>
      </c>
      <c r="B466" t="s">
        <v>107</v>
      </c>
      <c r="C466">
        <v>0.15</v>
      </c>
      <c r="D466" t="s">
        <v>18</v>
      </c>
      <c r="E466" t="str">
        <f>VLOOKUP(D466,mappings!A:B,2,FALSE)</f>
        <v>Finance</v>
      </c>
      <c r="F466" t="s">
        <v>112</v>
      </c>
    </row>
    <row r="467" spans="1:6" x14ac:dyDescent="0.25">
      <c r="A467" t="s">
        <v>104</v>
      </c>
      <c r="B467" t="s">
        <v>107</v>
      </c>
      <c r="C467">
        <v>0.14000000000000001</v>
      </c>
      <c r="D467" t="s">
        <v>9</v>
      </c>
      <c r="E467" t="str">
        <f>VLOOKUP(D467,mappings!A:B,2,FALSE)</f>
        <v>Education</v>
      </c>
      <c r="F467" t="s">
        <v>112</v>
      </c>
    </row>
    <row r="468" spans="1:6" x14ac:dyDescent="0.25">
      <c r="A468" t="s">
        <v>104</v>
      </c>
      <c r="B468" t="s">
        <v>107</v>
      </c>
      <c r="C468">
        <v>0.14000000000000001</v>
      </c>
      <c r="D468" t="s">
        <v>103</v>
      </c>
      <c r="E468" t="str">
        <f>VLOOKUP(D468,mappings!A:B,2,FALSE)</f>
        <v>Healthcare</v>
      </c>
      <c r="F468" t="s">
        <v>112</v>
      </c>
    </row>
    <row r="469" spans="1:6" x14ac:dyDescent="0.25">
      <c r="A469" t="s">
        <v>104</v>
      </c>
      <c r="B469" t="s">
        <v>107</v>
      </c>
      <c r="C469">
        <v>0.14000000000000001</v>
      </c>
      <c r="D469" t="s">
        <v>45</v>
      </c>
      <c r="E469" t="str">
        <f>VLOOKUP(D469,mappings!A:B,2,FALSE)</f>
        <v>Administration</v>
      </c>
      <c r="F469" t="s">
        <v>112</v>
      </c>
    </row>
    <row r="470" spans="1:6" x14ac:dyDescent="0.25">
      <c r="A470" t="s">
        <v>104</v>
      </c>
      <c r="B470" t="s">
        <v>107</v>
      </c>
      <c r="C470">
        <v>0.14000000000000001</v>
      </c>
      <c r="D470" t="s">
        <v>54</v>
      </c>
      <c r="E470" t="str">
        <f>VLOOKUP(D470,mappings!A:B,2,FALSE)</f>
        <v>Marketing</v>
      </c>
      <c r="F470" t="s">
        <v>112</v>
      </c>
    </row>
    <row r="471" spans="1:6" x14ac:dyDescent="0.25">
      <c r="A471" t="s">
        <v>104</v>
      </c>
      <c r="B471" t="s">
        <v>107</v>
      </c>
      <c r="C471">
        <v>0.14000000000000001</v>
      </c>
      <c r="D471" t="s">
        <v>102</v>
      </c>
      <c r="E471" t="str">
        <f>VLOOKUP(D471,mappings!A:B,2,FALSE)</f>
        <v>Operations</v>
      </c>
      <c r="F471" t="s">
        <v>112</v>
      </c>
    </row>
    <row r="472" spans="1:6" x14ac:dyDescent="0.25">
      <c r="A472" t="s">
        <v>104</v>
      </c>
      <c r="B472" t="s">
        <v>107</v>
      </c>
      <c r="C472">
        <v>0.14000000000000001</v>
      </c>
      <c r="D472" t="s">
        <v>89</v>
      </c>
      <c r="E472" t="str">
        <f>VLOOKUP(D472,mappings!A:B,2,FALSE)</f>
        <v>Finance</v>
      </c>
      <c r="F472" t="s">
        <v>112</v>
      </c>
    </row>
    <row r="473" spans="1:6" x14ac:dyDescent="0.25">
      <c r="A473" t="s">
        <v>104</v>
      </c>
      <c r="B473" t="s">
        <v>107</v>
      </c>
      <c r="C473">
        <v>0.14000000000000001</v>
      </c>
      <c r="D473" t="s">
        <v>93</v>
      </c>
      <c r="E473" t="str">
        <f>VLOOKUP(D473,mappings!A:B,2,FALSE)</f>
        <v>Legal</v>
      </c>
      <c r="F473" t="s">
        <v>112</v>
      </c>
    </row>
    <row r="474" spans="1:6" x14ac:dyDescent="0.25">
      <c r="A474" t="s">
        <v>104</v>
      </c>
      <c r="B474" t="s">
        <v>107</v>
      </c>
      <c r="C474">
        <v>0.14000000000000001</v>
      </c>
      <c r="D474" t="s">
        <v>34</v>
      </c>
      <c r="E474" t="str">
        <f>VLOOKUP(D474,mappings!A:B,2,FALSE)</f>
        <v>STEM</v>
      </c>
      <c r="F474" t="s">
        <v>112</v>
      </c>
    </row>
    <row r="475" spans="1:6" x14ac:dyDescent="0.25">
      <c r="A475" t="s">
        <v>104</v>
      </c>
      <c r="B475" t="s">
        <v>107</v>
      </c>
      <c r="C475">
        <v>0.14000000000000001</v>
      </c>
      <c r="D475" t="s">
        <v>87</v>
      </c>
      <c r="E475" t="str">
        <f>VLOOKUP(D475,mappings!A:B,2,FALSE)</f>
        <v>Trades</v>
      </c>
      <c r="F475" t="s">
        <v>112</v>
      </c>
    </row>
    <row r="476" spans="1:6" x14ac:dyDescent="0.25">
      <c r="A476" t="s">
        <v>104</v>
      </c>
      <c r="B476" t="s">
        <v>107</v>
      </c>
      <c r="C476">
        <v>0.14000000000000001</v>
      </c>
      <c r="D476" t="s">
        <v>79</v>
      </c>
      <c r="E476" t="str">
        <f>VLOOKUP(D476,mappings!A:B,2,FALSE)</f>
        <v>Marketing</v>
      </c>
      <c r="F476" t="s">
        <v>112</v>
      </c>
    </row>
    <row r="477" spans="1:6" x14ac:dyDescent="0.25">
      <c r="A477" t="s">
        <v>104</v>
      </c>
      <c r="B477" t="s">
        <v>107</v>
      </c>
      <c r="C477">
        <v>0.13</v>
      </c>
      <c r="D477" t="s">
        <v>81</v>
      </c>
      <c r="E477" t="str">
        <f>VLOOKUP(D477,mappings!A:B,2,FALSE)</f>
        <v>Legal</v>
      </c>
      <c r="F477" t="s">
        <v>112</v>
      </c>
    </row>
    <row r="478" spans="1:6" x14ac:dyDescent="0.25">
      <c r="A478" t="s">
        <v>104</v>
      </c>
      <c r="B478" t="s">
        <v>107</v>
      </c>
      <c r="C478">
        <v>0.13</v>
      </c>
      <c r="D478" t="s">
        <v>82</v>
      </c>
      <c r="E478" t="str">
        <f>VLOOKUP(D478,mappings!A:B,2,FALSE)</f>
        <v>STEM</v>
      </c>
      <c r="F478" t="s">
        <v>112</v>
      </c>
    </row>
    <row r="479" spans="1:6" x14ac:dyDescent="0.25">
      <c r="A479" t="s">
        <v>104</v>
      </c>
      <c r="B479" t="s">
        <v>107</v>
      </c>
      <c r="C479">
        <v>0.13</v>
      </c>
      <c r="D479" t="s">
        <v>72</v>
      </c>
      <c r="E479" t="str">
        <f>VLOOKUP(D479,mappings!A:B,2,FALSE)</f>
        <v>STEM</v>
      </c>
      <c r="F479" t="s">
        <v>112</v>
      </c>
    </row>
    <row r="480" spans="1:6" x14ac:dyDescent="0.25">
      <c r="A480" t="s">
        <v>104</v>
      </c>
      <c r="B480" t="s">
        <v>107</v>
      </c>
      <c r="C480">
        <v>0.13</v>
      </c>
      <c r="D480" t="s">
        <v>55</v>
      </c>
      <c r="E480" t="str">
        <f>VLOOKUP(D480,mappings!A:B,2,FALSE)</f>
        <v>Human Resources</v>
      </c>
      <c r="F480" t="s">
        <v>112</v>
      </c>
    </row>
    <row r="481" spans="1:6" x14ac:dyDescent="0.25">
      <c r="A481" t="s">
        <v>104</v>
      </c>
      <c r="B481" t="s">
        <v>107</v>
      </c>
      <c r="C481">
        <v>0.13</v>
      </c>
      <c r="D481" t="s">
        <v>96</v>
      </c>
      <c r="E481" t="str">
        <f>VLOOKUP(D481,mappings!A:B,2,FALSE)</f>
        <v>Sales</v>
      </c>
      <c r="F481" t="s">
        <v>112</v>
      </c>
    </row>
    <row r="482" spans="1:6" x14ac:dyDescent="0.25">
      <c r="A482" t="s">
        <v>104</v>
      </c>
      <c r="B482" t="s">
        <v>107</v>
      </c>
      <c r="C482">
        <v>0.13</v>
      </c>
      <c r="D482" t="s">
        <v>10</v>
      </c>
      <c r="E482" t="str">
        <f>VLOOKUP(D482,mappings!A:B,2,FALSE)</f>
        <v>Healthcare</v>
      </c>
      <c r="F482" t="s">
        <v>112</v>
      </c>
    </row>
    <row r="483" spans="1:6" x14ac:dyDescent="0.25">
      <c r="A483" t="s">
        <v>104</v>
      </c>
      <c r="B483" t="s">
        <v>107</v>
      </c>
      <c r="C483">
        <v>0.13</v>
      </c>
      <c r="D483" t="s">
        <v>70</v>
      </c>
      <c r="E483" t="str">
        <f>VLOOKUP(D483,mappings!A:B,2,FALSE)</f>
        <v>Operations</v>
      </c>
      <c r="F483" t="s">
        <v>112</v>
      </c>
    </row>
    <row r="484" spans="1:6" x14ac:dyDescent="0.25">
      <c r="A484" t="s">
        <v>104</v>
      </c>
      <c r="B484" t="s">
        <v>107</v>
      </c>
      <c r="C484">
        <v>0.13</v>
      </c>
      <c r="D484" t="s">
        <v>36</v>
      </c>
      <c r="E484" t="str">
        <f>VLOOKUP(D484,mappings!A:B,2,FALSE)</f>
        <v>Healthcare</v>
      </c>
      <c r="F484" t="s">
        <v>112</v>
      </c>
    </row>
    <row r="485" spans="1:6" x14ac:dyDescent="0.25">
      <c r="A485" t="s">
        <v>104</v>
      </c>
      <c r="B485" t="s">
        <v>107</v>
      </c>
      <c r="C485">
        <v>0.13</v>
      </c>
      <c r="D485" t="s">
        <v>56</v>
      </c>
      <c r="E485" t="str">
        <f>VLOOKUP(D485,mappings!A:B,2,FALSE)</f>
        <v>STEM</v>
      </c>
      <c r="F485" t="s">
        <v>112</v>
      </c>
    </row>
    <row r="486" spans="1:6" x14ac:dyDescent="0.25">
      <c r="A486" t="s">
        <v>104</v>
      </c>
      <c r="B486" t="s">
        <v>107</v>
      </c>
      <c r="C486">
        <v>0.13</v>
      </c>
      <c r="D486" t="s">
        <v>74</v>
      </c>
      <c r="E486" t="str">
        <f>VLOOKUP(D486,mappings!A:B,2,FALSE)</f>
        <v>Healthcare</v>
      </c>
      <c r="F486" t="s">
        <v>112</v>
      </c>
    </row>
    <row r="487" spans="1:6" x14ac:dyDescent="0.25">
      <c r="A487" t="s">
        <v>104</v>
      </c>
      <c r="B487" t="s">
        <v>107</v>
      </c>
      <c r="C487">
        <v>0.13</v>
      </c>
      <c r="D487" t="s">
        <v>8</v>
      </c>
      <c r="E487" t="str">
        <f>VLOOKUP(D487,mappings!A:B,2,FALSE)</f>
        <v>Healthcare</v>
      </c>
      <c r="F487" t="s">
        <v>112</v>
      </c>
    </row>
    <row r="488" spans="1:6" x14ac:dyDescent="0.25">
      <c r="A488" t="s">
        <v>104</v>
      </c>
      <c r="B488" t="s">
        <v>107</v>
      </c>
      <c r="C488">
        <v>0.13</v>
      </c>
      <c r="D488" t="s">
        <v>83</v>
      </c>
      <c r="E488" t="str">
        <f>VLOOKUP(D488,mappings!A:B,2,FALSE)</f>
        <v>Sales</v>
      </c>
      <c r="F488" t="s">
        <v>112</v>
      </c>
    </row>
    <row r="489" spans="1:6" x14ac:dyDescent="0.25">
      <c r="A489" t="s">
        <v>104</v>
      </c>
      <c r="B489" t="s">
        <v>107</v>
      </c>
      <c r="C489">
        <v>0.13</v>
      </c>
      <c r="D489" t="s">
        <v>28</v>
      </c>
      <c r="E489" t="str">
        <f>VLOOKUP(D489,mappings!A:B,2,FALSE)</f>
        <v>STEM</v>
      </c>
      <c r="F489" t="s">
        <v>112</v>
      </c>
    </row>
    <row r="490" spans="1:6" x14ac:dyDescent="0.25">
      <c r="A490" t="s">
        <v>104</v>
      </c>
      <c r="B490" t="s">
        <v>107</v>
      </c>
      <c r="C490">
        <v>0.13</v>
      </c>
      <c r="D490" t="s">
        <v>97</v>
      </c>
      <c r="E490" t="str">
        <f>VLOOKUP(D490,mappings!A:B,2,FALSE)</f>
        <v>STEM</v>
      </c>
      <c r="F490" t="s">
        <v>112</v>
      </c>
    </row>
    <row r="491" spans="1:6" x14ac:dyDescent="0.25">
      <c r="A491" t="s">
        <v>104</v>
      </c>
      <c r="B491" t="s">
        <v>107</v>
      </c>
      <c r="C491">
        <v>0.12</v>
      </c>
      <c r="D491" t="s">
        <v>78</v>
      </c>
      <c r="E491" t="str">
        <f>VLOOKUP(D491,mappings!A:B,2,FALSE)</f>
        <v>Hospitality</v>
      </c>
      <c r="F491" t="s">
        <v>112</v>
      </c>
    </row>
    <row r="492" spans="1:6" x14ac:dyDescent="0.25">
      <c r="A492" t="s">
        <v>104</v>
      </c>
      <c r="B492" t="s">
        <v>107</v>
      </c>
      <c r="C492">
        <v>0.12</v>
      </c>
      <c r="D492" t="s">
        <v>46</v>
      </c>
      <c r="E492" t="str">
        <f>VLOOKUP(D492,mappings!A:B,2,FALSE)</f>
        <v>STEM</v>
      </c>
      <c r="F492" t="s">
        <v>112</v>
      </c>
    </row>
    <row r="493" spans="1:6" x14ac:dyDescent="0.25">
      <c r="A493" t="s">
        <v>104</v>
      </c>
      <c r="B493" t="s">
        <v>107</v>
      </c>
      <c r="C493">
        <v>0.12</v>
      </c>
      <c r="D493" t="s">
        <v>90</v>
      </c>
      <c r="E493" t="str">
        <f>VLOOKUP(D493,mappings!A:B,2,FALSE)</f>
        <v>Marketing</v>
      </c>
      <c r="F493" t="s">
        <v>112</v>
      </c>
    </row>
    <row r="494" spans="1:6" x14ac:dyDescent="0.25">
      <c r="A494" t="s">
        <v>104</v>
      </c>
      <c r="B494" t="s">
        <v>107</v>
      </c>
      <c r="C494">
        <v>0.12</v>
      </c>
      <c r="D494" t="s">
        <v>88</v>
      </c>
      <c r="E494" t="str">
        <f>VLOOKUP(D494,mappings!A:B,2,FALSE)</f>
        <v>Healthcare</v>
      </c>
      <c r="F494" t="s">
        <v>112</v>
      </c>
    </row>
    <row r="495" spans="1:6" x14ac:dyDescent="0.25">
      <c r="A495" t="s">
        <v>104</v>
      </c>
      <c r="B495" t="s">
        <v>107</v>
      </c>
      <c r="C495">
        <v>0.12</v>
      </c>
      <c r="D495" t="s">
        <v>99</v>
      </c>
      <c r="E495" t="str">
        <f>VLOOKUP(D495,mappings!A:B,2,FALSE)</f>
        <v>Operations</v>
      </c>
      <c r="F495" t="s">
        <v>112</v>
      </c>
    </row>
    <row r="496" spans="1:6" x14ac:dyDescent="0.25">
      <c r="A496" t="s">
        <v>104</v>
      </c>
      <c r="B496" t="s">
        <v>107</v>
      </c>
      <c r="C496">
        <v>0.12</v>
      </c>
      <c r="D496" t="s">
        <v>64</v>
      </c>
      <c r="E496" t="str">
        <f>VLOOKUP(D496,mappings!A:B,2,FALSE)</f>
        <v>STEM</v>
      </c>
      <c r="F496" t="s">
        <v>112</v>
      </c>
    </row>
    <row r="497" spans="1:6" x14ac:dyDescent="0.25">
      <c r="A497" t="s">
        <v>104</v>
      </c>
      <c r="B497" t="s">
        <v>107</v>
      </c>
      <c r="C497">
        <v>0.12</v>
      </c>
      <c r="D497" t="s">
        <v>61</v>
      </c>
      <c r="E497" t="str">
        <f>VLOOKUP(D497,mappings!A:B,2,FALSE)</f>
        <v>STEM</v>
      </c>
      <c r="F497" t="s">
        <v>112</v>
      </c>
    </row>
    <row r="498" spans="1:6" x14ac:dyDescent="0.25">
      <c r="A498" t="s">
        <v>104</v>
      </c>
      <c r="B498" t="s">
        <v>107</v>
      </c>
      <c r="C498">
        <v>0.11</v>
      </c>
      <c r="D498" t="s">
        <v>31</v>
      </c>
      <c r="E498" t="str">
        <f>VLOOKUP(D498,mappings!A:B,2,FALSE)</f>
        <v>STEM</v>
      </c>
      <c r="F498" t="s">
        <v>112</v>
      </c>
    </row>
    <row r="499" spans="1:6" x14ac:dyDescent="0.25">
      <c r="A499" t="s">
        <v>104</v>
      </c>
      <c r="B499" t="s">
        <v>107</v>
      </c>
      <c r="C499">
        <v>0.1</v>
      </c>
      <c r="D499" t="s">
        <v>48</v>
      </c>
      <c r="E499" t="str">
        <f>VLOOKUP(D499,mappings!A:B,2,FALSE)</f>
        <v>STEM</v>
      </c>
      <c r="F499" t="s">
        <v>112</v>
      </c>
    </row>
    <row r="500" spans="1:6" x14ac:dyDescent="0.25">
      <c r="A500" t="s">
        <v>104</v>
      </c>
      <c r="B500" t="s">
        <v>107</v>
      </c>
      <c r="C500">
        <v>0.09</v>
      </c>
      <c r="D500" t="s">
        <v>75</v>
      </c>
      <c r="E500" t="str">
        <f>VLOOKUP(D500,mappings!A:B,2,FALSE)</f>
        <v>STEM</v>
      </c>
      <c r="F500" t="s">
        <v>112</v>
      </c>
    </row>
    <row r="501" spans="1:6" x14ac:dyDescent="0.25">
      <c r="A501" t="s">
        <v>104</v>
      </c>
      <c r="B501" t="s">
        <v>107</v>
      </c>
      <c r="C501">
        <v>0.09</v>
      </c>
      <c r="D501" t="s">
        <v>53</v>
      </c>
      <c r="E501" t="str">
        <f>VLOOKUP(D501,mappings!A:B,2,FALSE)</f>
        <v>Healthcare</v>
      </c>
      <c r="F501" t="s">
        <v>112</v>
      </c>
    </row>
    <row r="502" spans="1:6" x14ac:dyDescent="0.25">
      <c r="A502" t="s">
        <v>3</v>
      </c>
      <c r="B502" t="s">
        <v>108</v>
      </c>
      <c r="C502">
        <v>0.28999999999999998</v>
      </c>
      <c r="D502" t="s">
        <v>5</v>
      </c>
      <c r="E502" t="str">
        <f>VLOOKUP(D502,mappings!A:B,2,FALSE)</f>
        <v>Hospitality</v>
      </c>
      <c r="F502" t="s">
        <v>112</v>
      </c>
    </row>
    <row r="503" spans="1:6" x14ac:dyDescent="0.25">
      <c r="A503" t="s">
        <v>3</v>
      </c>
      <c r="B503" t="s">
        <v>108</v>
      </c>
      <c r="C503">
        <v>0.27</v>
      </c>
      <c r="D503" t="s">
        <v>11</v>
      </c>
      <c r="E503" t="str">
        <f>VLOOKUP(D503,mappings!A:B,2,FALSE)</f>
        <v>Human Resources</v>
      </c>
      <c r="F503" t="s">
        <v>112</v>
      </c>
    </row>
    <row r="504" spans="1:6" x14ac:dyDescent="0.25">
      <c r="A504" t="s">
        <v>3</v>
      </c>
      <c r="B504" t="s">
        <v>108</v>
      </c>
      <c r="C504">
        <v>0.27</v>
      </c>
      <c r="D504" t="s">
        <v>50</v>
      </c>
      <c r="E504" t="str">
        <f>VLOOKUP(D504,mappings!A:B,2,FALSE)</f>
        <v>Education</v>
      </c>
      <c r="F504" t="s">
        <v>112</v>
      </c>
    </row>
    <row r="505" spans="1:6" x14ac:dyDescent="0.25">
      <c r="A505" t="s">
        <v>3</v>
      </c>
      <c r="B505" t="s">
        <v>108</v>
      </c>
      <c r="C505">
        <v>0.27</v>
      </c>
      <c r="D505" t="s">
        <v>17</v>
      </c>
      <c r="E505" t="str">
        <f>VLOOKUP(D505,mappings!A:B,2,FALSE)</f>
        <v>Sales</v>
      </c>
      <c r="F505" t="s">
        <v>112</v>
      </c>
    </row>
    <row r="506" spans="1:6" x14ac:dyDescent="0.25">
      <c r="A506" t="s">
        <v>3</v>
      </c>
      <c r="B506" t="s">
        <v>108</v>
      </c>
      <c r="C506">
        <v>0.26</v>
      </c>
      <c r="D506" t="s">
        <v>45</v>
      </c>
      <c r="E506" t="str">
        <f>VLOOKUP(D506,mappings!A:B,2,FALSE)</f>
        <v>Administration</v>
      </c>
      <c r="F506" t="s">
        <v>112</v>
      </c>
    </row>
    <row r="507" spans="1:6" x14ac:dyDescent="0.25">
      <c r="A507" t="s">
        <v>3</v>
      </c>
      <c r="B507" t="s">
        <v>108</v>
      </c>
      <c r="C507">
        <v>0.25</v>
      </c>
      <c r="D507" t="s">
        <v>13</v>
      </c>
      <c r="E507" t="str">
        <f>VLOOKUP(D507,mappings!A:B,2,FALSE)</f>
        <v>Administration</v>
      </c>
      <c r="F507" t="s">
        <v>112</v>
      </c>
    </row>
    <row r="508" spans="1:6" x14ac:dyDescent="0.25">
      <c r="A508" t="s">
        <v>3</v>
      </c>
      <c r="B508" t="s">
        <v>108</v>
      </c>
      <c r="C508">
        <v>0.25</v>
      </c>
      <c r="D508" t="s">
        <v>24</v>
      </c>
      <c r="E508" t="str">
        <f>VLOOKUP(D508,mappings!A:B,2,FALSE)</f>
        <v>Education</v>
      </c>
      <c r="F508" t="s">
        <v>112</v>
      </c>
    </row>
    <row r="509" spans="1:6" x14ac:dyDescent="0.25">
      <c r="A509" t="s">
        <v>3</v>
      </c>
      <c r="B509" t="s">
        <v>108</v>
      </c>
      <c r="C509">
        <v>0.25</v>
      </c>
      <c r="D509" t="s">
        <v>7</v>
      </c>
      <c r="E509" t="str">
        <f>VLOOKUP(D509,mappings!A:B,2,FALSE)</f>
        <v>Legal</v>
      </c>
      <c r="F509" t="s">
        <v>112</v>
      </c>
    </row>
    <row r="510" spans="1:6" x14ac:dyDescent="0.25">
      <c r="A510" t="s">
        <v>3</v>
      </c>
      <c r="B510" t="s">
        <v>108</v>
      </c>
      <c r="C510">
        <v>0.25</v>
      </c>
      <c r="D510" t="s">
        <v>9</v>
      </c>
      <c r="E510" t="str">
        <f>VLOOKUP(D510,mappings!A:B,2,FALSE)</f>
        <v>Education</v>
      </c>
      <c r="F510" t="s">
        <v>112</v>
      </c>
    </row>
    <row r="511" spans="1:6" x14ac:dyDescent="0.25">
      <c r="A511" t="s">
        <v>3</v>
      </c>
      <c r="B511" t="s">
        <v>108</v>
      </c>
      <c r="C511">
        <v>0.25</v>
      </c>
      <c r="D511" t="s">
        <v>4</v>
      </c>
      <c r="E511" t="str">
        <f>VLOOKUP(D511,mappings!A:B,2,FALSE)</f>
        <v>Creative</v>
      </c>
      <c r="F511" t="s">
        <v>112</v>
      </c>
    </row>
    <row r="512" spans="1:6" x14ac:dyDescent="0.25">
      <c r="A512" t="s">
        <v>3</v>
      </c>
      <c r="B512" t="s">
        <v>108</v>
      </c>
      <c r="C512">
        <v>0.24</v>
      </c>
      <c r="D512" t="s">
        <v>14</v>
      </c>
      <c r="E512" t="str">
        <f>VLOOKUP(D512,mappings!A:B,2,FALSE)</f>
        <v>Creative</v>
      </c>
      <c r="F512" t="s">
        <v>112</v>
      </c>
    </row>
    <row r="513" spans="1:6" x14ac:dyDescent="0.25">
      <c r="A513" t="s">
        <v>3</v>
      </c>
      <c r="B513" t="s">
        <v>108</v>
      </c>
      <c r="C513">
        <v>0.24</v>
      </c>
      <c r="D513" t="s">
        <v>27</v>
      </c>
      <c r="E513" t="str">
        <f>VLOOKUP(D513,mappings!A:B,2,FALSE)</f>
        <v>Management</v>
      </c>
      <c r="F513" t="s">
        <v>112</v>
      </c>
    </row>
    <row r="514" spans="1:6" x14ac:dyDescent="0.25">
      <c r="A514" t="s">
        <v>3</v>
      </c>
      <c r="B514" t="s">
        <v>108</v>
      </c>
      <c r="C514">
        <v>0.23</v>
      </c>
      <c r="D514" t="s">
        <v>58</v>
      </c>
      <c r="E514" t="str">
        <f>VLOOKUP(D514,mappings!A:B,2,FALSE)</f>
        <v>Education</v>
      </c>
      <c r="F514" t="s">
        <v>112</v>
      </c>
    </row>
    <row r="515" spans="1:6" x14ac:dyDescent="0.25">
      <c r="A515" t="s">
        <v>3</v>
      </c>
      <c r="B515" t="s">
        <v>108</v>
      </c>
      <c r="C515">
        <v>0.23</v>
      </c>
      <c r="D515" t="s">
        <v>16</v>
      </c>
      <c r="E515" t="str">
        <f>VLOOKUP(D515,mappings!A:B,2,FALSE)</f>
        <v>Finance</v>
      </c>
      <c r="F515" t="s">
        <v>112</v>
      </c>
    </row>
    <row r="516" spans="1:6" x14ac:dyDescent="0.25">
      <c r="A516" t="s">
        <v>3</v>
      </c>
      <c r="B516" t="s">
        <v>108</v>
      </c>
      <c r="C516">
        <v>0.23</v>
      </c>
      <c r="D516" t="s">
        <v>53</v>
      </c>
      <c r="E516" t="str">
        <f>VLOOKUP(D516,mappings!A:B,2,FALSE)</f>
        <v>Healthcare</v>
      </c>
      <c r="F516" t="s">
        <v>112</v>
      </c>
    </row>
    <row r="517" spans="1:6" x14ac:dyDescent="0.25">
      <c r="A517" t="s">
        <v>3</v>
      </c>
      <c r="B517" t="s">
        <v>108</v>
      </c>
      <c r="C517">
        <v>0.22</v>
      </c>
      <c r="D517" t="s">
        <v>98</v>
      </c>
      <c r="E517" t="str">
        <f>VLOOKUP(D517,mappings!A:B,2,FALSE)</f>
        <v>STEM</v>
      </c>
      <c r="F517" t="s">
        <v>112</v>
      </c>
    </row>
    <row r="518" spans="1:6" x14ac:dyDescent="0.25">
      <c r="A518" t="s">
        <v>3</v>
      </c>
      <c r="B518" t="s">
        <v>108</v>
      </c>
      <c r="C518">
        <v>0.22</v>
      </c>
      <c r="D518" t="s">
        <v>32</v>
      </c>
      <c r="E518" t="str">
        <f>VLOOKUP(D518,mappings!A:B,2,FALSE)</f>
        <v>Human Resources</v>
      </c>
      <c r="F518" t="s">
        <v>112</v>
      </c>
    </row>
    <row r="519" spans="1:6" x14ac:dyDescent="0.25">
      <c r="A519" t="s">
        <v>3</v>
      </c>
      <c r="B519" t="s">
        <v>108</v>
      </c>
      <c r="C519">
        <v>0.22</v>
      </c>
      <c r="D519" t="s">
        <v>26</v>
      </c>
      <c r="E519" t="str">
        <f>VLOOKUP(D519,mappings!A:B,2,FALSE)</f>
        <v>Healthcare</v>
      </c>
      <c r="F519" t="s">
        <v>112</v>
      </c>
    </row>
    <row r="520" spans="1:6" x14ac:dyDescent="0.25">
      <c r="A520" t="s">
        <v>3</v>
      </c>
      <c r="B520" t="s">
        <v>108</v>
      </c>
      <c r="C520">
        <v>0.22</v>
      </c>
      <c r="D520" t="s">
        <v>49</v>
      </c>
      <c r="E520" t="str">
        <f>VLOOKUP(D520,mappings!A:B,2,FALSE)</f>
        <v>Healthcare</v>
      </c>
      <c r="F520" t="s">
        <v>112</v>
      </c>
    </row>
    <row r="521" spans="1:6" x14ac:dyDescent="0.25">
      <c r="A521" t="s">
        <v>3</v>
      </c>
      <c r="B521" t="s">
        <v>108</v>
      </c>
      <c r="C521">
        <v>0.22</v>
      </c>
      <c r="D521" t="s">
        <v>39</v>
      </c>
      <c r="E521" t="str">
        <f>VLOOKUP(D521,mappings!A:B,2,FALSE)</f>
        <v>Administration</v>
      </c>
      <c r="F521" t="s">
        <v>112</v>
      </c>
    </row>
    <row r="522" spans="1:6" x14ac:dyDescent="0.25">
      <c r="A522" t="s">
        <v>3</v>
      </c>
      <c r="B522" t="s">
        <v>108</v>
      </c>
      <c r="C522">
        <v>0.21</v>
      </c>
      <c r="D522" t="s">
        <v>63</v>
      </c>
      <c r="E522" t="str">
        <f>VLOOKUP(D522,mappings!A:B,2,FALSE)</f>
        <v>Finance</v>
      </c>
      <c r="F522" t="s">
        <v>112</v>
      </c>
    </row>
    <row r="523" spans="1:6" x14ac:dyDescent="0.25">
      <c r="A523" t="s">
        <v>3</v>
      </c>
      <c r="B523" t="s">
        <v>108</v>
      </c>
      <c r="C523">
        <v>0.21</v>
      </c>
      <c r="D523" t="s">
        <v>76</v>
      </c>
      <c r="E523" t="str">
        <f>VLOOKUP(D523,mappings!A:B,2,FALSE)</f>
        <v>Real Estate</v>
      </c>
      <c r="F523" t="s">
        <v>112</v>
      </c>
    </row>
    <row r="524" spans="1:6" x14ac:dyDescent="0.25">
      <c r="A524" t="s">
        <v>3</v>
      </c>
      <c r="B524" t="s">
        <v>108</v>
      </c>
      <c r="C524">
        <v>0.21</v>
      </c>
      <c r="D524" t="s">
        <v>41</v>
      </c>
      <c r="E524" t="str">
        <f>VLOOKUP(D524,mappings!A:B,2,FALSE)</f>
        <v>Healthcare</v>
      </c>
      <c r="F524" t="s">
        <v>112</v>
      </c>
    </row>
    <row r="525" spans="1:6" x14ac:dyDescent="0.25">
      <c r="A525" t="s">
        <v>3</v>
      </c>
      <c r="B525" t="s">
        <v>108</v>
      </c>
      <c r="C525">
        <v>0.21</v>
      </c>
      <c r="D525" t="s">
        <v>33</v>
      </c>
      <c r="E525" t="str">
        <f>VLOOKUP(D525,mappings!A:B,2,FALSE)</f>
        <v>Education</v>
      </c>
      <c r="F525" t="s">
        <v>112</v>
      </c>
    </row>
    <row r="526" spans="1:6" x14ac:dyDescent="0.25">
      <c r="A526" t="s">
        <v>3</v>
      </c>
      <c r="B526" t="s">
        <v>108</v>
      </c>
      <c r="C526">
        <v>0.21</v>
      </c>
      <c r="D526" t="s">
        <v>28</v>
      </c>
      <c r="E526" t="str">
        <f>VLOOKUP(D526,mappings!A:B,2,FALSE)</f>
        <v>STEM</v>
      </c>
      <c r="F526" t="s">
        <v>112</v>
      </c>
    </row>
    <row r="527" spans="1:6" x14ac:dyDescent="0.25">
      <c r="A527" t="s">
        <v>3</v>
      </c>
      <c r="B527" t="s">
        <v>108</v>
      </c>
      <c r="C527">
        <v>0.21</v>
      </c>
      <c r="D527" t="s">
        <v>51</v>
      </c>
      <c r="E527" t="str">
        <f>VLOOKUP(D527,mappings!A:B,2,FALSE)</f>
        <v>Healthcare</v>
      </c>
      <c r="F527" t="s">
        <v>112</v>
      </c>
    </row>
    <row r="528" spans="1:6" x14ac:dyDescent="0.25">
      <c r="A528" t="s">
        <v>3</v>
      </c>
      <c r="B528" t="s">
        <v>108</v>
      </c>
      <c r="C528">
        <v>0.21</v>
      </c>
      <c r="D528" t="s">
        <v>30</v>
      </c>
      <c r="E528" t="str">
        <f>VLOOKUP(D528,mappings!A:B,2,FALSE)</f>
        <v>STEM</v>
      </c>
      <c r="F528" t="s">
        <v>112</v>
      </c>
    </row>
    <row r="529" spans="1:6" x14ac:dyDescent="0.25">
      <c r="A529" t="s">
        <v>3</v>
      </c>
      <c r="B529" t="s">
        <v>108</v>
      </c>
      <c r="C529">
        <v>0.21</v>
      </c>
      <c r="D529" t="s">
        <v>47</v>
      </c>
      <c r="E529" t="str">
        <f>VLOOKUP(D529,mappings!A:B,2,FALSE)</f>
        <v>Legal</v>
      </c>
      <c r="F529" t="s">
        <v>112</v>
      </c>
    </row>
    <row r="530" spans="1:6" x14ac:dyDescent="0.25">
      <c r="A530" t="s">
        <v>3</v>
      </c>
      <c r="B530" t="s">
        <v>108</v>
      </c>
      <c r="C530">
        <v>0.21</v>
      </c>
      <c r="D530" t="s">
        <v>80</v>
      </c>
      <c r="E530" t="str">
        <f>VLOOKUP(D530,mappings!A:B,2,FALSE)</f>
        <v>Hospitality</v>
      </c>
      <c r="F530" t="s">
        <v>112</v>
      </c>
    </row>
    <row r="531" spans="1:6" x14ac:dyDescent="0.25">
      <c r="A531" t="s">
        <v>3</v>
      </c>
      <c r="B531" t="s">
        <v>108</v>
      </c>
      <c r="C531">
        <v>0.2</v>
      </c>
      <c r="D531" t="s">
        <v>10</v>
      </c>
      <c r="E531" t="str">
        <f>VLOOKUP(D531,mappings!A:B,2,FALSE)</f>
        <v>Healthcare</v>
      </c>
      <c r="F531" t="s">
        <v>112</v>
      </c>
    </row>
    <row r="532" spans="1:6" x14ac:dyDescent="0.25">
      <c r="A532" t="s">
        <v>3</v>
      </c>
      <c r="B532" t="s">
        <v>108</v>
      </c>
      <c r="C532">
        <v>0.2</v>
      </c>
      <c r="D532" t="s">
        <v>19</v>
      </c>
      <c r="E532" t="str">
        <f>VLOOKUP(D532,mappings!A:B,2,FALSE)</f>
        <v>Finance</v>
      </c>
      <c r="F532" t="s">
        <v>112</v>
      </c>
    </row>
    <row r="533" spans="1:6" x14ac:dyDescent="0.25">
      <c r="A533" t="s">
        <v>3</v>
      </c>
      <c r="B533" t="s">
        <v>108</v>
      </c>
      <c r="C533">
        <v>0.2</v>
      </c>
      <c r="D533" t="s">
        <v>77</v>
      </c>
      <c r="E533" t="str">
        <f>VLOOKUP(D533,mappings!A:B,2,FALSE)</f>
        <v>Legal</v>
      </c>
      <c r="F533" t="s">
        <v>112</v>
      </c>
    </row>
    <row r="534" spans="1:6" x14ac:dyDescent="0.25">
      <c r="A534" t="s">
        <v>3</v>
      </c>
      <c r="B534" t="s">
        <v>108</v>
      </c>
      <c r="C534">
        <v>0.2</v>
      </c>
      <c r="D534" t="s">
        <v>21</v>
      </c>
      <c r="E534" t="str">
        <f>VLOOKUP(D534,mappings!A:B,2,FALSE)</f>
        <v>Trades</v>
      </c>
      <c r="F534" t="s">
        <v>112</v>
      </c>
    </row>
    <row r="535" spans="1:6" x14ac:dyDescent="0.25">
      <c r="A535" t="s">
        <v>3</v>
      </c>
      <c r="B535" t="s">
        <v>108</v>
      </c>
      <c r="C535">
        <v>0.19</v>
      </c>
      <c r="D535" t="s">
        <v>40</v>
      </c>
      <c r="E535" t="str">
        <f>VLOOKUP(D535,mappings!A:B,2,FALSE)</f>
        <v>STEM</v>
      </c>
      <c r="F535" t="s">
        <v>112</v>
      </c>
    </row>
    <row r="536" spans="1:6" x14ac:dyDescent="0.25">
      <c r="A536" t="s">
        <v>3</v>
      </c>
      <c r="B536" t="s">
        <v>108</v>
      </c>
      <c r="C536">
        <v>0.19</v>
      </c>
      <c r="D536" t="s">
        <v>54</v>
      </c>
      <c r="E536" t="str">
        <f>VLOOKUP(D536,mappings!A:B,2,FALSE)</f>
        <v>Marketing</v>
      </c>
      <c r="F536" t="s">
        <v>112</v>
      </c>
    </row>
    <row r="537" spans="1:6" x14ac:dyDescent="0.25">
      <c r="A537" t="s">
        <v>3</v>
      </c>
      <c r="B537" t="s">
        <v>108</v>
      </c>
      <c r="C537">
        <v>0.19</v>
      </c>
      <c r="D537" t="s">
        <v>37</v>
      </c>
      <c r="E537" t="str">
        <f>VLOOKUP(D537,mappings!A:B,2,FALSE)</f>
        <v>Marketing</v>
      </c>
      <c r="F537" t="s">
        <v>112</v>
      </c>
    </row>
    <row r="538" spans="1:6" x14ac:dyDescent="0.25">
      <c r="A538" t="s">
        <v>3</v>
      </c>
      <c r="B538" t="s">
        <v>108</v>
      </c>
      <c r="C538">
        <v>0.19</v>
      </c>
      <c r="D538" t="s">
        <v>92</v>
      </c>
      <c r="E538" t="str">
        <f>VLOOKUP(D538,mappings!A:B,2,FALSE)</f>
        <v>Management</v>
      </c>
      <c r="F538" t="s">
        <v>112</v>
      </c>
    </row>
    <row r="539" spans="1:6" x14ac:dyDescent="0.25">
      <c r="A539" t="s">
        <v>3</v>
      </c>
      <c r="B539" t="s">
        <v>108</v>
      </c>
      <c r="C539">
        <v>0.19</v>
      </c>
      <c r="D539" t="s">
        <v>25</v>
      </c>
      <c r="E539" t="str">
        <f>VLOOKUP(D539,mappings!A:B,2,FALSE)</f>
        <v>Creative</v>
      </c>
      <c r="F539" t="s">
        <v>112</v>
      </c>
    </row>
    <row r="540" spans="1:6" x14ac:dyDescent="0.25">
      <c r="A540" t="s">
        <v>3</v>
      </c>
      <c r="B540" t="s">
        <v>108</v>
      </c>
      <c r="C540">
        <v>0.19</v>
      </c>
      <c r="D540" t="s">
        <v>57</v>
      </c>
      <c r="E540" t="str">
        <f>VLOOKUP(D540,mappings!A:B,2,FALSE)</f>
        <v>Finance</v>
      </c>
      <c r="F540" t="s">
        <v>112</v>
      </c>
    </row>
    <row r="541" spans="1:6" x14ac:dyDescent="0.25">
      <c r="A541" t="s">
        <v>3</v>
      </c>
      <c r="B541" t="s">
        <v>108</v>
      </c>
      <c r="C541">
        <v>0.18</v>
      </c>
      <c r="D541" t="s">
        <v>35</v>
      </c>
      <c r="E541" t="str">
        <f>VLOOKUP(D541,mappings!A:B,2,FALSE)</f>
        <v>Education</v>
      </c>
      <c r="F541" t="s">
        <v>112</v>
      </c>
    </row>
    <row r="542" spans="1:6" x14ac:dyDescent="0.25">
      <c r="A542" t="s">
        <v>3</v>
      </c>
      <c r="B542" t="s">
        <v>108</v>
      </c>
      <c r="C542">
        <v>0.18</v>
      </c>
      <c r="D542" t="s">
        <v>59</v>
      </c>
      <c r="E542" t="str">
        <f>VLOOKUP(D542,mappings!A:B,2,FALSE)</f>
        <v>Real Estate</v>
      </c>
      <c r="F542" t="s">
        <v>112</v>
      </c>
    </row>
    <row r="543" spans="1:6" x14ac:dyDescent="0.25">
      <c r="A543" t="s">
        <v>3</v>
      </c>
      <c r="B543" t="s">
        <v>108</v>
      </c>
      <c r="C543">
        <v>0.18</v>
      </c>
      <c r="D543" t="s">
        <v>101</v>
      </c>
      <c r="E543" t="str">
        <f>VLOOKUP(D543,mappings!A:B,2,FALSE)</f>
        <v>Healthcare</v>
      </c>
      <c r="F543" t="s">
        <v>112</v>
      </c>
    </row>
    <row r="544" spans="1:6" x14ac:dyDescent="0.25">
      <c r="A544" t="s">
        <v>3</v>
      </c>
      <c r="B544" t="s">
        <v>108</v>
      </c>
      <c r="C544">
        <v>0.18</v>
      </c>
      <c r="D544" t="s">
        <v>23</v>
      </c>
      <c r="E544" t="str">
        <f>VLOOKUP(D544,mappings!A:B,2,FALSE)</f>
        <v>Creative</v>
      </c>
      <c r="F544" t="s">
        <v>112</v>
      </c>
    </row>
    <row r="545" spans="1:6" x14ac:dyDescent="0.25">
      <c r="A545" t="s">
        <v>3</v>
      </c>
      <c r="B545" t="s">
        <v>108</v>
      </c>
      <c r="C545">
        <v>0.18</v>
      </c>
      <c r="D545" t="s">
        <v>36</v>
      </c>
      <c r="E545" t="str">
        <f>VLOOKUP(D545,mappings!A:B,2,FALSE)</f>
        <v>Healthcare</v>
      </c>
      <c r="F545" t="s">
        <v>112</v>
      </c>
    </row>
    <row r="546" spans="1:6" x14ac:dyDescent="0.25">
      <c r="A546" t="s">
        <v>3</v>
      </c>
      <c r="B546" t="s">
        <v>108</v>
      </c>
      <c r="C546">
        <v>0.18</v>
      </c>
      <c r="D546" t="s">
        <v>103</v>
      </c>
      <c r="E546" t="str">
        <f>VLOOKUP(D546,mappings!A:B,2,FALSE)</f>
        <v>Healthcare</v>
      </c>
      <c r="F546" t="s">
        <v>112</v>
      </c>
    </row>
    <row r="547" spans="1:6" x14ac:dyDescent="0.25">
      <c r="A547" t="s">
        <v>3</v>
      </c>
      <c r="B547" t="s">
        <v>108</v>
      </c>
      <c r="C547">
        <v>0.18</v>
      </c>
      <c r="D547" t="s">
        <v>70</v>
      </c>
      <c r="E547" t="str">
        <f>VLOOKUP(D547,mappings!A:B,2,FALSE)</f>
        <v>Operations</v>
      </c>
      <c r="F547" t="s">
        <v>112</v>
      </c>
    </row>
    <row r="548" spans="1:6" x14ac:dyDescent="0.25">
      <c r="A548" t="s">
        <v>3</v>
      </c>
      <c r="B548" t="s">
        <v>108</v>
      </c>
      <c r="C548">
        <v>0.18</v>
      </c>
      <c r="D548" t="s">
        <v>8</v>
      </c>
      <c r="E548" t="str">
        <f>VLOOKUP(D548,mappings!A:B,2,FALSE)</f>
        <v>Healthcare</v>
      </c>
      <c r="F548" t="s">
        <v>112</v>
      </c>
    </row>
    <row r="549" spans="1:6" x14ac:dyDescent="0.25">
      <c r="A549" t="s">
        <v>3</v>
      </c>
      <c r="B549" t="s">
        <v>108</v>
      </c>
      <c r="C549">
        <v>0.18</v>
      </c>
      <c r="D549" t="s">
        <v>85</v>
      </c>
      <c r="E549" t="str">
        <f>VLOOKUP(D549,mappings!A:B,2,FALSE)</f>
        <v>STEM</v>
      </c>
      <c r="F549" t="s">
        <v>112</v>
      </c>
    </row>
    <row r="550" spans="1:6" x14ac:dyDescent="0.25">
      <c r="A550" t="s">
        <v>3</v>
      </c>
      <c r="B550" t="s">
        <v>108</v>
      </c>
      <c r="C550">
        <v>0.18</v>
      </c>
      <c r="D550" t="s">
        <v>42</v>
      </c>
      <c r="E550" t="str">
        <f>VLOOKUP(D550,mappings!A:B,2,FALSE)</f>
        <v>Healthcare</v>
      </c>
      <c r="F550" t="s">
        <v>112</v>
      </c>
    </row>
    <row r="551" spans="1:6" x14ac:dyDescent="0.25">
      <c r="A551" t="s">
        <v>3</v>
      </c>
      <c r="B551" t="s">
        <v>108</v>
      </c>
      <c r="C551">
        <v>0.18</v>
      </c>
      <c r="D551" t="s">
        <v>78</v>
      </c>
      <c r="E551" t="str">
        <f>VLOOKUP(D551,mappings!A:B,2,FALSE)</f>
        <v>Hospitality</v>
      </c>
      <c r="F551" t="s">
        <v>112</v>
      </c>
    </row>
    <row r="552" spans="1:6" x14ac:dyDescent="0.25">
      <c r="A552" t="s">
        <v>3</v>
      </c>
      <c r="B552" t="s">
        <v>108</v>
      </c>
      <c r="C552">
        <v>0.17</v>
      </c>
      <c r="D552" t="s">
        <v>29</v>
      </c>
      <c r="E552" t="str">
        <f>VLOOKUP(D552,mappings!A:B,2,FALSE)</f>
        <v>Creative</v>
      </c>
      <c r="F552" t="s">
        <v>112</v>
      </c>
    </row>
    <row r="553" spans="1:6" x14ac:dyDescent="0.25">
      <c r="A553" t="s">
        <v>3</v>
      </c>
      <c r="B553" t="s">
        <v>108</v>
      </c>
      <c r="C553">
        <v>0.17</v>
      </c>
      <c r="D553" t="s">
        <v>66</v>
      </c>
      <c r="E553" t="str">
        <f>VLOOKUP(D553,mappings!A:B,2,FALSE)</f>
        <v>Healthcare</v>
      </c>
      <c r="F553" t="s">
        <v>112</v>
      </c>
    </row>
    <row r="554" spans="1:6" x14ac:dyDescent="0.25">
      <c r="A554" t="s">
        <v>3</v>
      </c>
      <c r="B554" t="s">
        <v>108</v>
      </c>
      <c r="C554">
        <v>0.17</v>
      </c>
      <c r="D554" t="s">
        <v>6</v>
      </c>
      <c r="E554" t="str">
        <f>VLOOKUP(D554,mappings!A:B,2,FALSE)</f>
        <v>Hospitality</v>
      </c>
      <c r="F554" t="s">
        <v>112</v>
      </c>
    </row>
    <row r="555" spans="1:6" x14ac:dyDescent="0.25">
      <c r="A555" t="s">
        <v>3</v>
      </c>
      <c r="B555" t="s">
        <v>108</v>
      </c>
      <c r="C555">
        <v>0.17</v>
      </c>
      <c r="D555" t="s">
        <v>86</v>
      </c>
      <c r="E555" t="str">
        <f>VLOOKUP(D555,mappings!A:B,2,FALSE)</f>
        <v>Finance</v>
      </c>
      <c r="F555" t="s">
        <v>112</v>
      </c>
    </row>
    <row r="556" spans="1:6" x14ac:dyDescent="0.25">
      <c r="A556" t="s">
        <v>3</v>
      </c>
      <c r="B556" t="s">
        <v>108</v>
      </c>
      <c r="C556">
        <v>0.17</v>
      </c>
      <c r="D556" t="s">
        <v>93</v>
      </c>
      <c r="E556" t="str">
        <f>VLOOKUP(D556,mappings!A:B,2,FALSE)</f>
        <v>Legal</v>
      </c>
      <c r="F556" t="s">
        <v>112</v>
      </c>
    </row>
    <row r="557" spans="1:6" x14ac:dyDescent="0.25">
      <c r="A557" t="s">
        <v>3</v>
      </c>
      <c r="B557" t="s">
        <v>108</v>
      </c>
      <c r="C557">
        <v>0.17</v>
      </c>
      <c r="D557" t="s">
        <v>22</v>
      </c>
      <c r="E557" t="str">
        <f>VLOOKUP(D557,mappings!A:B,2,FALSE)</f>
        <v>Management</v>
      </c>
      <c r="F557" t="s">
        <v>112</v>
      </c>
    </row>
    <row r="558" spans="1:6" x14ac:dyDescent="0.25">
      <c r="A558" t="s">
        <v>3</v>
      </c>
      <c r="B558" t="s">
        <v>108</v>
      </c>
      <c r="C558">
        <v>0.17</v>
      </c>
      <c r="D558" t="s">
        <v>60</v>
      </c>
      <c r="E558" t="str">
        <f>VLOOKUP(D558,mappings!A:B,2,FALSE)</f>
        <v>Finance</v>
      </c>
      <c r="F558" t="s">
        <v>112</v>
      </c>
    </row>
    <row r="559" spans="1:6" x14ac:dyDescent="0.25">
      <c r="A559" t="s">
        <v>3</v>
      </c>
      <c r="B559" t="s">
        <v>108</v>
      </c>
      <c r="C559">
        <v>0.17</v>
      </c>
      <c r="D559" t="s">
        <v>62</v>
      </c>
      <c r="E559" t="str">
        <f>VLOOKUP(D559,mappings!A:B,2,FALSE)</f>
        <v>Marketing</v>
      </c>
      <c r="F559" t="s">
        <v>112</v>
      </c>
    </row>
    <row r="560" spans="1:6" x14ac:dyDescent="0.25">
      <c r="A560" t="s">
        <v>3</v>
      </c>
      <c r="B560" t="s">
        <v>108</v>
      </c>
      <c r="C560">
        <v>0.17</v>
      </c>
      <c r="D560" t="s">
        <v>94</v>
      </c>
      <c r="E560" t="str">
        <f>VLOOKUP(D560,mappings!A:B,2,FALSE)</f>
        <v>Management</v>
      </c>
      <c r="F560" t="s">
        <v>112</v>
      </c>
    </row>
    <row r="561" spans="1:6" x14ac:dyDescent="0.25">
      <c r="A561" t="s">
        <v>3</v>
      </c>
      <c r="B561" t="s">
        <v>108</v>
      </c>
      <c r="C561">
        <v>0.17</v>
      </c>
      <c r="D561" t="s">
        <v>38</v>
      </c>
      <c r="E561" t="str">
        <f>VLOOKUP(D561,mappings!A:B,2,FALSE)</f>
        <v>Healthcare</v>
      </c>
      <c r="F561" t="s">
        <v>112</v>
      </c>
    </row>
    <row r="562" spans="1:6" x14ac:dyDescent="0.25">
      <c r="A562" t="s">
        <v>3</v>
      </c>
      <c r="B562" t="s">
        <v>108</v>
      </c>
      <c r="C562">
        <v>0.17</v>
      </c>
      <c r="D562" t="s">
        <v>64</v>
      </c>
      <c r="E562" t="str">
        <f>VLOOKUP(D562,mappings!A:B,2,FALSE)</f>
        <v>STEM</v>
      </c>
      <c r="F562" t="s">
        <v>112</v>
      </c>
    </row>
    <row r="563" spans="1:6" x14ac:dyDescent="0.25">
      <c r="A563" t="s">
        <v>3</v>
      </c>
      <c r="B563" t="s">
        <v>108</v>
      </c>
      <c r="C563">
        <v>0.17</v>
      </c>
      <c r="D563" t="s">
        <v>44</v>
      </c>
      <c r="E563" t="str">
        <f>VLOOKUP(D563,mappings!A:B,2,FALSE)</f>
        <v>Healthcare</v>
      </c>
      <c r="F563" t="s">
        <v>112</v>
      </c>
    </row>
    <row r="564" spans="1:6" x14ac:dyDescent="0.25">
      <c r="A564" t="s">
        <v>3</v>
      </c>
      <c r="B564" t="s">
        <v>108</v>
      </c>
      <c r="C564">
        <v>0.17</v>
      </c>
      <c r="D564" t="s">
        <v>88</v>
      </c>
      <c r="E564" t="str">
        <f>VLOOKUP(D564,mappings!A:B,2,FALSE)</f>
        <v>Healthcare</v>
      </c>
      <c r="F564" t="s">
        <v>112</v>
      </c>
    </row>
    <row r="565" spans="1:6" x14ac:dyDescent="0.25">
      <c r="A565" t="s">
        <v>3</v>
      </c>
      <c r="B565" t="s">
        <v>108</v>
      </c>
      <c r="C565">
        <v>0.17</v>
      </c>
      <c r="D565" t="s">
        <v>81</v>
      </c>
      <c r="E565" t="str">
        <f>VLOOKUP(D565,mappings!A:B,2,FALSE)</f>
        <v>Legal</v>
      </c>
      <c r="F565" t="s">
        <v>112</v>
      </c>
    </row>
    <row r="566" spans="1:6" x14ac:dyDescent="0.25">
      <c r="A566" t="s">
        <v>3</v>
      </c>
      <c r="B566" t="s">
        <v>108</v>
      </c>
      <c r="C566">
        <v>0.17</v>
      </c>
      <c r="D566" t="s">
        <v>91</v>
      </c>
      <c r="E566" t="str">
        <f>VLOOKUP(D566,mappings!A:B,2,FALSE)</f>
        <v>Finance</v>
      </c>
      <c r="F566" t="s">
        <v>112</v>
      </c>
    </row>
    <row r="567" spans="1:6" x14ac:dyDescent="0.25">
      <c r="A567" t="s">
        <v>3</v>
      </c>
      <c r="B567" t="s">
        <v>108</v>
      </c>
      <c r="C567">
        <v>0.17</v>
      </c>
      <c r="D567" t="s">
        <v>95</v>
      </c>
      <c r="E567" t="str">
        <f>VLOOKUP(D567,mappings!A:B,2,FALSE)</f>
        <v>STEM</v>
      </c>
      <c r="F567" t="s">
        <v>112</v>
      </c>
    </row>
    <row r="568" spans="1:6" x14ac:dyDescent="0.25">
      <c r="A568" t="s">
        <v>3</v>
      </c>
      <c r="B568" t="s">
        <v>108</v>
      </c>
      <c r="C568">
        <v>0.16</v>
      </c>
      <c r="D568" t="s">
        <v>97</v>
      </c>
      <c r="E568" t="str">
        <f>VLOOKUP(D568,mappings!A:B,2,FALSE)</f>
        <v>STEM</v>
      </c>
      <c r="F568" t="s">
        <v>112</v>
      </c>
    </row>
    <row r="569" spans="1:6" x14ac:dyDescent="0.25">
      <c r="A569" t="s">
        <v>3</v>
      </c>
      <c r="B569" t="s">
        <v>108</v>
      </c>
      <c r="C569">
        <v>0.16</v>
      </c>
      <c r="D569" t="s">
        <v>43</v>
      </c>
      <c r="E569" t="str">
        <f>VLOOKUP(D569,mappings!A:B,2,FALSE)</f>
        <v>Management</v>
      </c>
      <c r="F569" t="s">
        <v>112</v>
      </c>
    </row>
    <row r="570" spans="1:6" x14ac:dyDescent="0.25">
      <c r="A570" t="s">
        <v>3</v>
      </c>
      <c r="B570" t="s">
        <v>108</v>
      </c>
      <c r="C570">
        <v>0.16</v>
      </c>
      <c r="D570" t="s">
        <v>89</v>
      </c>
      <c r="E570" t="str">
        <f>VLOOKUP(D570,mappings!A:B,2,FALSE)</f>
        <v>Finance</v>
      </c>
      <c r="F570" t="s">
        <v>112</v>
      </c>
    </row>
    <row r="571" spans="1:6" x14ac:dyDescent="0.25">
      <c r="A571" t="s">
        <v>3</v>
      </c>
      <c r="B571" t="s">
        <v>108</v>
      </c>
      <c r="C571">
        <v>0.16</v>
      </c>
      <c r="D571" t="s">
        <v>65</v>
      </c>
      <c r="E571" t="str">
        <f>VLOOKUP(D571,mappings!A:B,2,FALSE)</f>
        <v>Management</v>
      </c>
      <c r="F571" t="s">
        <v>112</v>
      </c>
    </row>
    <row r="572" spans="1:6" x14ac:dyDescent="0.25">
      <c r="A572" t="s">
        <v>3</v>
      </c>
      <c r="B572" t="s">
        <v>108</v>
      </c>
      <c r="C572">
        <v>0.16</v>
      </c>
      <c r="D572" t="s">
        <v>74</v>
      </c>
      <c r="E572" t="str">
        <f>VLOOKUP(D572,mappings!A:B,2,FALSE)</f>
        <v>Healthcare</v>
      </c>
      <c r="F572" t="s">
        <v>112</v>
      </c>
    </row>
    <row r="573" spans="1:6" x14ac:dyDescent="0.25">
      <c r="A573" t="s">
        <v>3</v>
      </c>
      <c r="B573" t="s">
        <v>108</v>
      </c>
      <c r="C573">
        <v>0.16</v>
      </c>
      <c r="D573" t="s">
        <v>83</v>
      </c>
      <c r="E573" t="str">
        <f>VLOOKUP(D573,mappings!A:B,2,FALSE)</f>
        <v>Sales</v>
      </c>
      <c r="F573" t="s">
        <v>112</v>
      </c>
    </row>
    <row r="574" spans="1:6" x14ac:dyDescent="0.25">
      <c r="A574" t="s">
        <v>3</v>
      </c>
      <c r="B574" t="s">
        <v>108</v>
      </c>
      <c r="C574">
        <v>0.16</v>
      </c>
      <c r="D574" t="s">
        <v>102</v>
      </c>
      <c r="E574" t="str">
        <f>VLOOKUP(D574,mappings!A:B,2,FALSE)</f>
        <v>Operations</v>
      </c>
      <c r="F574" t="s">
        <v>112</v>
      </c>
    </row>
    <row r="575" spans="1:6" x14ac:dyDescent="0.25">
      <c r="A575" t="s">
        <v>3</v>
      </c>
      <c r="B575" t="s">
        <v>108</v>
      </c>
      <c r="C575">
        <v>0.15</v>
      </c>
      <c r="D575" t="s">
        <v>84</v>
      </c>
      <c r="E575" t="str">
        <f>VLOOKUP(D575,mappings!A:B,2,FALSE)</f>
        <v>Hospitality</v>
      </c>
      <c r="F575" t="s">
        <v>112</v>
      </c>
    </row>
    <row r="576" spans="1:6" x14ac:dyDescent="0.25">
      <c r="A576" t="s">
        <v>3</v>
      </c>
      <c r="B576" t="s">
        <v>108</v>
      </c>
      <c r="C576">
        <v>0.15</v>
      </c>
      <c r="D576" t="s">
        <v>61</v>
      </c>
      <c r="E576" t="str">
        <f>VLOOKUP(D576,mappings!A:B,2,FALSE)</f>
        <v>STEM</v>
      </c>
      <c r="F576" t="s">
        <v>112</v>
      </c>
    </row>
    <row r="577" spans="1:6" x14ac:dyDescent="0.25">
      <c r="A577" t="s">
        <v>3</v>
      </c>
      <c r="B577" t="s">
        <v>108</v>
      </c>
      <c r="C577">
        <v>0.15</v>
      </c>
      <c r="D577" t="s">
        <v>55</v>
      </c>
      <c r="E577" t="str">
        <f>VLOOKUP(D577,mappings!A:B,2,FALSE)</f>
        <v>Human Resources</v>
      </c>
      <c r="F577" t="s">
        <v>112</v>
      </c>
    </row>
    <row r="578" spans="1:6" x14ac:dyDescent="0.25">
      <c r="A578" t="s">
        <v>3</v>
      </c>
      <c r="B578" t="s">
        <v>108</v>
      </c>
      <c r="C578">
        <v>0.15</v>
      </c>
      <c r="D578" t="s">
        <v>52</v>
      </c>
      <c r="E578" t="str">
        <f>VLOOKUP(D578,mappings!A:B,2,FALSE)</f>
        <v>Operations</v>
      </c>
      <c r="F578" t="s">
        <v>112</v>
      </c>
    </row>
    <row r="579" spans="1:6" x14ac:dyDescent="0.25">
      <c r="A579" t="s">
        <v>3</v>
      </c>
      <c r="B579" t="s">
        <v>108</v>
      </c>
      <c r="C579">
        <v>0.15</v>
      </c>
      <c r="D579" t="s">
        <v>82</v>
      </c>
      <c r="E579" t="str">
        <f>VLOOKUP(D579,mappings!A:B,2,FALSE)</f>
        <v>STEM</v>
      </c>
      <c r="F579" t="s">
        <v>112</v>
      </c>
    </row>
    <row r="580" spans="1:6" x14ac:dyDescent="0.25">
      <c r="A580" t="s">
        <v>3</v>
      </c>
      <c r="B580" t="s">
        <v>108</v>
      </c>
      <c r="C580">
        <v>0.15</v>
      </c>
      <c r="D580" t="s">
        <v>68</v>
      </c>
      <c r="E580" t="str">
        <f>VLOOKUP(D580,mappings!A:B,2,FALSE)</f>
        <v>STEM</v>
      </c>
      <c r="F580" t="s">
        <v>112</v>
      </c>
    </row>
    <row r="581" spans="1:6" x14ac:dyDescent="0.25">
      <c r="A581" t="s">
        <v>3</v>
      </c>
      <c r="B581" t="s">
        <v>108</v>
      </c>
      <c r="C581">
        <v>0.15</v>
      </c>
      <c r="D581" t="s">
        <v>67</v>
      </c>
      <c r="E581" t="str">
        <f>VLOOKUP(D581,mappings!A:B,2,FALSE)</f>
        <v>Finance</v>
      </c>
      <c r="F581" t="s">
        <v>112</v>
      </c>
    </row>
    <row r="582" spans="1:6" x14ac:dyDescent="0.25">
      <c r="A582" t="s">
        <v>3</v>
      </c>
      <c r="B582" t="s">
        <v>108</v>
      </c>
      <c r="C582">
        <v>0.15</v>
      </c>
      <c r="D582" t="s">
        <v>75</v>
      </c>
      <c r="E582" t="str">
        <f>VLOOKUP(D582,mappings!A:B,2,FALSE)</f>
        <v>STEM</v>
      </c>
      <c r="F582" t="s">
        <v>112</v>
      </c>
    </row>
    <row r="583" spans="1:6" x14ac:dyDescent="0.25">
      <c r="A583" t="s">
        <v>3</v>
      </c>
      <c r="B583" t="s">
        <v>108</v>
      </c>
      <c r="C583">
        <v>0.14000000000000001</v>
      </c>
      <c r="D583" t="s">
        <v>12</v>
      </c>
      <c r="E583" t="str">
        <f>VLOOKUP(D583,mappings!A:B,2,FALSE)</f>
        <v>STEM</v>
      </c>
      <c r="F583" t="s">
        <v>112</v>
      </c>
    </row>
    <row r="584" spans="1:6" x14ac:dyDescent="0.25">
      <c r="A584" t="s">
        <v>3</v>
      </c>
      <c r="B584" t="s">
        <v>108</v>
      </c>
      <c r="C584">
        <v>0.14000000000000001</v>
      </c>
      <c r="D584" t="s">
        <v>96</v>
      </c>
      <c r="E584" t="str">
        <f>VLOOKUP(D584,mappings!A:B,2,FALSE)</f>
        <v>Sales</v>
      </c>
      <c r="F584" t="s">
        <v>112</v>
      </c>
    </row>
    <row r="585" spans="1:6" x14ac:dyDescent="0.25">
      <c r="A585" t="s">
        <v>3</v>
      </c>
      <c r="B585" t="s">
        <v>108</v>
      </c>
      <c r="C585">
        <v>0.14000000000000001</v>
      </c>
      <c r="D585" t="s">
        <v>34</v>
      </c>
      <c r="E585" t="str">
        <f>VLOOKUP(D585,mappings!A:B,2,FALSE)</f>
        <v>STEM</v>
      </c>
      <c r="F585" t="s">
        <v>112</v>
      </c>
    </row>
    <row r="586" spans="1:6" x14ac:dyDescent="0.25">
      <c r="A586" t="s">
        <v>3</v>
      </c>
      <c r="B586" t="s">
        <v>108</v>
      </c>
      <c r="C586">
        <v>0.13</v>
      </c>
      <c r="D586" t="s">
        <v>48</v>
      </c>
      <c r="E586" t="str">
        <f>VLOOKUP(D586,mappings!A:B,2,FALSE)</f>
        <v>STEM</v>
      </c>
      <c r="F586" t="s">
        <v>112</v>
      </c>
    </row>
    <row r="587" spans="1:6" x14ac:dyDescent="0.25">
      <c r="A587" t="s">
        <v>3</v>
      </c>
      <c r="B587" t="s">
        <v>108</v>
      </c>
      <c r="C587">
        <v>0.13</v>
      </c>
      <c r="D587" t="s">
        <v>15</v>
      </c>
      <c r="E587" t="str">
        <f>VLOOKUP(D587,mappings!A:B,2,FALSE)</f>
        <v>Trades</v>
      </c>
      <c r="F587" t="s">
        <v>112</v>
      </c>
    </row>
    <row r="588" spans="1:6" x14ac:dyDescent="0.25">
      <c r="A588" t="s">
        <v>3</v>
      </c>
      <c r="B588" t="s">
        <v>108</v>
      </c>
      <c r="C588">
        <v>0.13</v>
      </c>
      <c r="D588" t="s">
        <v>79</v>
      </c>
      <c r="E588" t="str">
        <f>VLOOKUP(D588,mappings!A:B,2,FALSE)</f>
        <v>Marketing</v>
      </c>
      <c r="F588" t="s">
        <v>112</v>
      </c>
    </row>
    <row r="589" spans="1:6" x14ac:dyDescent="0.25">
      <c r="A589" t="s">
        <v>3</v>
      </c>
      <c r="B589" t="s">
        <v>108</v>
      </c>
      <c r="C589">
        <v>0.13</v>
      </c>
      <c r="D589" t="s">
        <v>31</v>
      </c>
      <c r="E589" t="str">
        <f>VLOOKUP(D589,mappings!A:B,2,FALSE)</f>
        <v>STEM</v>
      </c>
      <c r="F589" t="s">
        <v>112</v>
      </c>
    </row>
    <row r="590" spans="1:6" x14ac:dyDescent="0.25">
      <c r="A590" t="s">
        <v>3</v>
      </c>
      <c r="B590" t="s">
        <v>108</v>
      </c>
      <c r="C590">
        <v>0.13</v>
      </c>
      <c r="D590" t="s">
        <v>18</v>
      </c>
      <c r="E590" t="str">
        <f>VLOOKUP(D590,mappings!A:B,2,FALSE)</f>
        <v>Finance</v>
      </c>
      <c r="F590" t="s">
        <v>112</v>
      </c>
    </row>
    <row r="591" spans="1:6" x14ac:dyDescent="0.25">
      <c r="A591" t="s">
        <v>3</v>
      </c>
      <c r="B591" t="s">
        <v>108</v>
      </c>
      <c r="C591">
        <v>0.13</v>
      </c>
      <c r="D591" t="s">
        <v>73</v>
      </c>
      <c r="E591" t="str">
        <f>VLOOKUP(D591,mappings!A:B,2,FALSE)</f>
        <v>Finance</v>
      </c>
      <c r="F591" t="s">
        <v>112</v>
      </c>
    </row>
    <row r="592" spans="1:6" x14ac:dyDescent="0.25">
      <c r="A592" t="s">
        <v>3</v>
      </c>
      <c r="B592" t="s">
        <v>108</v>
      </c>
      <c r="C592">
        <v>0.12</v>
      </c>
      <c r="D592" t="s">
        <v>69</v>
      </c>
      <c r="E592" t="str">
        <f>VLOOKUP(D592,mappings!A:B,2,FALSE)</f>
        <v>Hospitality</v>
      </c>
      <c r="F592" t="s">
        <v>112</v>
      </c>
    </row>
    <row r="593" spans="1:6" x14ac:dyDescent="0.25">
      <c r="A593" t="s">
        <v>3</v>
      </c>
      <c r="B593" t="s">
        <v>108</v>
      </c>
      <c r="C593">
        <v>0.12</v>
      </c>
      <c r="D593" t="s">
        <v>71</v>
      </c>
      <c r="E593" t="str">
        <f>VLOOKUP(D593,mappings!A:B,2,FALSE)</f>
        <v>STEM</v>
      </c>
      <c r="F593" t="s">
        <v>112</v>
      </c>
    </row>
    <row r="594" spans="1:6" x14ac:dyDescent="0.25">
      <c r="A594" t="s">
        <v>3</v>
      </c>
      <c r="B594" t="s">
        <v>108</v>
      </c>
      <c r="C594">
        <v>0.12</v>
      </c>
      <c r="D594" t="s">
        <v>90</v>
      </c>
      <c r="E594" t="str">
        <f>VLOOKUP(D594,mappings!A:B,2,FALSE)</f>
        <v>Marketing</v>
      </c>
      <c r="F594" t="s">
        <v>112</v>
      </c>
    </row>
    <row r="595" spans="1:6" x14ac:dyDescent="0.25">
      <c r="A595" t="s">
        <v>3</v>
      </c>
      <c r="B595" t="s">
        <v>108</v>
      </c>
      <c r="C595">
        <v>0.12</v>
      </c>
      <c r="D595" t="s">
        <v>100</v>
      </c>
      <c r="E595" t="str">
        <f>VLOOKUP(D595,mappings!A:B,2,FALSE)</f>
        <v>Management</v>
      </c>
      <c r="F595" t="s">
        <v>112</v>
      </c>
    </row>
    <row r="596" spans="1:6" x14ac:dyDescent="0.25">
      <c r="A596" t="s">
        <v>3</v>
      </c>
      <c r="B596" t="s">
        <v>108</v>
      </c>
      <c r="C596">
        <v>0.12</v>
      </c>
      <c r="D596" t="s">
        <v>99</v>
      </c>
      <c r="E596" t="str">
        <f>VLOOKUP(D596,mappings!A:B,2,FALSE)</f>
        <v>Operations</v>
      </c>
      <c r="F596" t="s">
        <v>112</v>
      </c>
    </row>
    <row r="597" spans="1:6" x14ac:dyDescent="0.25">
      <c r="A597" t="s">
        <v>3</v>
      </c>
      <c r="B597" t="s">
        <v>108</v>
      </c>
      <c r="C597">
        <v>0.12</v>
      </c>
      <c r="D597" t="s">
        <v>56</v>
      </c>
      <c r="E597" t="str">
        <f>VLOOKUP(D597,mappings!A:B,2,FALSE)</f>
        <v>STEM</v>
      </c>
      <c r="F597" t="s">
        <v>112</v>
      </c>
    </row>
    <row r="598" spans="1:6" x14ac:dyDescent="0.25">
      <c r="A598" t="s">
        <v>3</v>
      </c>
      <c r="B598" t="s">
        <v>108</v>
      </c>
      <c r="C598">
        <v>0.12</v>
      </c>
      <c r="D598" t="s">
        <v>20</v>
      </c>
      <c r="E598" t="str">
        <f>VLOOKUP(D598,mappings!A:B,2,FALSE)</f>
        <v>Hospitality</v>
      </c>
      <c r="F598" t="s">
        <v>112</v>
      </c>
    </row>
    <row r="599" spans="1:6" x14ac:dyDescent="0.25">
      <c r="A599" t="s">
        <v>3</v>
      </c>
      <c r="B599" t="s">
        <v>108</v>
      </c>
      <c r="C599">
        <v>0.11</v>
      </c>
      <c r="D599" t="s">
        <v>72</v>
      </c>
      <c r="E599" t="str">
        <f>VLOOKUP(D599,mappings!A:B,2,FALSE)</f>
        <v>STEM</v>
      </c>
      <c r="F599" t="s">
        <v>112</v>
      </c>
    </row>
    <row r="600" spans="1:6" x14ac:dyDescent="0.25">
      <c r="A600" t="s">
        <v>3</v>
      </c>
      <c r="B600" t="s">
        <v>108</v>
      </c>
      <c r="C600">
        <v>0.09</v>
      </c>
      <c r="D600" t="s">
        <v>87</v>
      </c>
      <c r="E600" t="str">
        <f>VLOOKUP(D600,mappings!A:B,2,FALSE)</f>
        <v>Trades</v>
      </c>
      <c r="F600" t="s">
        <v>112</v>
      </c>
    </row>
    <row r="601" spans="1:6" x14ac:dyDescent="0.25">
      <c r="A601" t="s">
        <v>3</v>
      </c>
      <c r="B601" t="s">
        <v>108</v>
      </c>
      <c r="C601">
        <v>0.09</v>
      </c>
      <c r="D601" t="s">
        <v>46</v>
      </c>
      <c r="E601" t="str">
        <f>VLOOKUP(D601,mappings!A:B,2,FALSE)</f>
        <v>STEM</v>
      </c>
      <c r="F601" t="s">
        <v>112</v>
      </c>
    </row>
    <row r="602" spans="1:6" x14ac:dyDescent="0.25">
      <c r="A602" t="s">
        <v>3</v>
      </c>
      <c r="B602" t="s">
        <v>3</v>
      </c>
      <c r="C602">
        <v>0.6</v>
      </c>
      <c r="D602" t="s">
        <v>6</v>
      </c>
      <c r="E602" t="str">
        <f>VLOOKUP(D602,mappings!A:B,2,FALSE)</f>
        <v>Hospitality</v>
      </c>
      <c r="F602" t="s">
        <v>128</v>
      </c>
    </row>
    <row r="603" spans="1:6" x14ac:dyDescent="0.25">
      <c r="A603" t="s">
        <v>3</v>
      </c>
      <c r="B603" t="s">
        <v>3</v>
      </c>
      <c r="C603">
        <v>0.59</v>
      </c>
      <c r="D603" t="s">
        <v>24</v>
      </c>
      <c r="E603" t="str">
        <f>VLOOKUP(D603,mappings!A:B,2,FALSE)</f>
        <v>Education</v>
      </c>
      <c r="F603" t="s">
        <v>128</v>
      </c>
    </row>
    <row r="604" spans="1:6" x14ac:dyDescent="0.25">
      <c r="A604" t="s">
        <v>3</v>
      </c>
      <c r="B604" t="s">
        <v>3</v>
      </c>
      <c r="C604">
        <v>0.59</v>
      </c>
      <c r="D604" t="s">
        <v>91</v>
      </c>
      <c r="E604" t="str">
        <f>VLOOKUP(D604,mappings!A:B,2,FALSE)</f>
        <v>Finance</v>
      </c>
      <c r="F604" t="s">
        <v>128</v>
      </c>
    </row>
    <row r="605" spans="1:6" x14ac:dyDescent="0.25">
      <c r="A605" t="s">
        <v>3</v>
      </c>
      <c r="B605" t="s">
        <v>3</v>
      </c>
      <c r="C605">
        <v>0.57999999999999996</v>
      </c>
      <c r="D605" t="s">
        <v>10</v>
      </c>
      <c r="E605" t="str">
        <f>VLOOKUP(D605,mappings!A:B,2,FALSE)</f>
        <v>Healthcare</v>
      </c>
      <c r="F605" t="s">
        <v>128</v>
      </c>
    </row>
    <row r="606" spans="1:6" x14ac:dyDescent="0.25">
      <c r="A606" t="s">
        <v>3</v>
      </c>
      <c r="B606" t="s">
        <v>3</v>
      </c>
      <c r="C606">
        <v>0.57999999999999996</v>
      </c>
      <c r="D606" t="s">
        <v>4</v>
      </c>
      <c r="E606" t="str">
        <f>VLOOKUP(D606,mappings!A:B,2,FALSE)</f>
        <v>Creative</v>
      </c>
      <c r="F606" t="s">
        <v>128</v>
      </c>
    </row>
    <row r="607" spans="1:6" x14ac:dyDescent="0.25">
      <c r="A607" t="s">
        <v>3</v>
      </c>
      <c r="B607" t="s">
        <v>3</v>
      </c>
      <c r="C607">
        <v>0.57999999999999996</v>
      </c>
      <c r="D607" t="s">
        <v>7</v>
      </c>
      <c r="E607" t="str">
        <f>VLOOKUP(D607,mappings!A:B,2,FALSE)</f>
        <v>Legal</v>
      </c>
      <c r="F607" t="s">
        <v>128</v>
      </c>
    </row>
    <row r="608" spans="1:6" x14ac:dyDescent="0.25">
      <c r="A608" t="s">
        <v>3</v>
      </c>
      <c r="B608" t="s">
        <v>3</v>
      </c>
      <c r="C608">
        <v>0.57999999999999996</v>
      </c>
      <c r="D608" t="s">
        <v>50</v>
      </c>
      <c r="E608" t="str">
        <f>VLOOKUP(D608,mappings!A:B,2,FALSE)</f>
        <v>Education</v>
      </c>
      <c r="F608" t="s">
        <v>128</v>
      </c>
    </row>
    <row r="609" spans="1:6" x14ac:dyDescent="0.25">
      <c r="A609" t="s">
        <v>3</v>
      </c>
      <c r="B609" t="s">
        <v>3</v>
      </c>
      <c r="C609">
        <v>0.57999999999999996</v>
      </c>
      <c r="D609" t="s">
        <v>17</v>
      </c>
      <c r="E609" t="str">
        <f>VLOOKUP(D609,mappings!A:B,2,FALSE)</f>
        <v>Sales</v>
      </c>
      <c r="F609" t="s">
        <v>128</v>
      </c>
    </row>
    <row r="610" spans="1:6" x14ac:dyDescent="0.25">
      <c r="A610" t="s">
        <v>3</v>
      </c>
      <c r="B610" t="s">
        <v>3</v>
      </c>
      <c r="C610">
        <v>0.57999999999999996</v>
      </c>
      <c r="D610" t="s">
        <v>38</v>
      </c>
      <c r="E610" t="str">
        <f>VLOOKUP(D610,mappings!A:B,2,FALSE)</f>
        <v>Healthcare</v>
      </c>
      <c r="F610" t="s">
        <v>128</v>
      </c>
    </row>
    <row r="611" spans="1:6" x14ac:dyDescent="0.25">
      <c r="A611" t="s">
        <v>3</v>
      </c>
      <c r="B611" t="s">
        <v>3</v>
      </c>
      <c r="C611">
        <v>0.57999999999999996</v>
      </c>
      <c r="D611" t="s">
        <v>45</v>
      </c>
      <c r="E611" t="str">
        <f>VLOOKUP(D611,mappings!A:B,2,FALSE)</f>
        <v>Administration</v>
      </c>
      <c r="F611" t="s">
        <v>128</v>
      </c>
    </row>
    <row r="612" spans="1:6" x14ac:dyDescent="0.25">
      <c r="A612" t="s">
        <v>3</v>
      </c>
      <c r="B612" t="s">
        <v>3</v>
      </c>
      <c r="C612">
        <v>0.57999999999999996</v>
      </c>
      <c r="D612" t="s">
        <v>8</v>
      </c>
      <c r="E612" t="str">
        <f>VLOOKUP(D612,mappings!A:B,2,FALSE)</f>
        <v>Healthcare</v>
      </c>
      <c r="F612" t="s">
        <v>128</v>
      </c>
    </row>
    <row r="613" spans="1:6" x14ac:dyDescent="0.25">
      <c r="A613" t="s">
        <v>3</v>
      </c>
      <c r="B613" t="s">
        <v>3</v>
      </c>
      <c r="C613">
        <v>0.57999999999999996</v>
      </c>
      <c r="D613" t="s">
        <v>43</v>
      </c>
      <c r="E613" t="str">
        <f>VLOOKUP(D613,mappings!A:B,2,FALSE)</f>
        <v>Management</v>
      </c>
      <c r="F613" t="s">
        <v>128</v>
      </c>
    </row>
    <row r="614" spans="1:6" x14ac:dyDescent="0.25">
      <c r="A614" t="s">
        <v>3</v>
      </c>
      <c r="B614" t="s">
        <v>3</v>
      </c>
      <c r="C614">
        <v>0.56999999999999995</v>
      </c>
      <c r="D614" t="s">
        <v>36</v>
      </c>
      <c r="E614" t="str">
        <f>VLOOKUP(D614,mappings!A:B,2,FALSE)</f>
        <v>Healthcare</v>
      </c>
      <c r="F614" t="s">
        <v>128</v>
      </c>
    </row>
    <row r="615" spans="1:6" x14ac:dyDescent="0.25">
      <c r="A615" t="s">
        <v>3</v>
      </c>
      <c r="B615" t="s">
        <v>3</v>
      </c>
      <c r="C615">
        <v>0.56999999999999995</v>
      </c>
      <c r="D615" t="s">
        <v>68</v>
      </c>
      <c r="E615" t="str">
        <f>VLOOKUP(D615,mappings!A:B,2,FALSE)</f>
        <v>STEM</v>
      </c>
      <c r="F615" t="s">
        <v>128</v>
      </c>
    </row>
    <row r="616" spans="1:6" x14ac:dyDescent="0.25">
      <c r="A616" t="s">
        <v>3</v>
      </c>
      <c r="B616" t="s">
        <v>3</v>
      </c>
      <c r="C616">
        <v>0.56999999999999995</v>
      </c>
      <c r="D616" t="s">
        <v>5</v>
      </c>
      <c r="E616" t="str">
        <f>VLOOKUP(D616,mappings!A:B,2,FALSE)</f>
        <v>Hospitality</v>
      </c>
      <c r="F616" t="s">
        <v>128</v>
      </c>
    </row>
    <row r="617" spans="1:6" x14ac:dyDescent="0.25">
      <c r="A617" t="s">
        <v>3</v>
      </c>
      <c r="B617" t="s">
        <v>3</v>
      </c>
      <c r="C617">
        <v>0.56999999999999995</v>
      </c>
      <c r="D617" t="s">
        <v>9</v>
      </c>
      <c r="E617" t="str">
        <f>VLOOKUP(D617,mappings!A:B,2,FALSE)</f>
        <v>Education</v>
      </c>
      <c r="F617" t="s">
        <v>128</v>
      </c>
    </row>
    <row r="618" spans="1:6" x14ac:dyDescent="0.25">
      <c r="A618" t="s">
        <v>3</v>
      </c>
      <c r="B618" t="s">
        <v>3</v>
      </c>
      <c r="C618">
        <v>0.56999999999999995</v>
      </c>
      <c r="D618" t="s">
        <v>47</v>
      </c>
      <c r="E618" t="str">
        <f>VLOOKUP(D618,mappings!A:B,2,FALSE)</f>
        <v>Legal</v>
      </c>
      <c r="F618" t="s">
        <v>128</v>
      </c>
    </row>
    <row r="619" spans="1:6" x14ac:dyDescent="0.25">
      <c r="A619" t="s">
        <v>3</v>
      </c>
      <c r="B619" t="s">
        <v>3</v>
      </c>
      <c r="C619">
        <v>0.56999999999999995</v>
      </c>
      <c r="D619" t="s">
        <v>25</v>
      </c>
      <c r="E619" t="str">
        <f>VLOOKUP(D619,mappings!A:B,2,FALSE)</f>
        <v>Creative</v>
      </c>
      <c r="F619" t="s">
        <v>128</v>
      </c>
    </row>
    <row r="620" spans="1:6" x14ac:dyDescent="0.25">
      <c r="A620" t="s">
        <v>3</v>
      </c>
      <c r="B620" t="s">
        <v>3</v>
      </c>
      <c r="C620">
        <v>0.56999999999999995</v>
      </c>
      <c r="D620" t="s">
        <v>23</v>
      </c>
      <c r="E620" t="str">
        <f>VLOOKUP(D620,mappings!A:B,2,FALSE)</f>
        <v>Creative</v>
      </c>
      <c r="F620" t="s">
        <v>128</v>
      </c>
    </row>
    <row r="621" spans="1:6" x14ac:dyDescent="0.25">
      <c r="A621" t="s">
        <v>3</v>
      </c>
      <c r="B621" t="s">
        <v>3</v>
      </c>
      <c r="C621">
        <v>0.56999999999999995</v>
      </c>
      <c r="D621" t="s">
        <v>51</v>
      </c>
      <c r="E621" t="str">
        <f>VLOOKUP(D621,mappings!A:B,2,FALSE)</f>
        <v>Healthcare</v>
      </c>
      <c r="F621" t="s">
        <v>128</v>
      </c>
    </row>
    <row r="622" spans="1:6" x14ac:dyDescent="0.25">
      <c r="A622" t="s">
        <v>3</v>
      </c>
      <c r="B622" t="s">
        <v>3</v>
      </c>
      <c r="C622">
        <v>0.56999999999999995</v>
      </c>
      <c r="D622" t="s">
        <v>32</v>
      </c>
      <c r="E622" t="str">
        <f>VLOOKUP(D622,mappings!A:B,2,FALSE)</f>
        <v>Human Resources</v>
      </c>
      <c r="F622" t="s">
        <v>128</v>
      </c>
    </row>
    <row r="623" spans="1:6" x14ac:dyDescent="0.25">
      <c r="A623" t="s">
        <v>3</v>
      </c>
      <c r="B623" t="s">
        <v>3</v>
      </c>
      <c r="C623">
        <v>0.56999999999999995</v>
      </c>
      <c r="D623" t="s">
        <v>40</v>
      </c>
      <c r="E623" t="str">
        <f>VLOOKUP(D623,mappings!A:B,2,FALSE)</f>
        <v>STEM</v>
      </c>
      <c r="F623" t="s">
        <v>128</v>
      </c>
    </row>
    <row r="624" spans="1:6" x14ac:dyDescent="0.25">
      <c r="A624" t="s">
        <v>3</v>
      </c>
      <c r="B624" t="s">
        <v>3</v>
      </c>
      <c r="C624">
        <v>0.56999999999999995</v>
      </c>
      <c r="D624" t="s">
        <v>26</v>
      </c>
      <c r="E624" t="str">
        <f>VLOOKUP(D624,mappings!A:B,2,FALSE)</f>
        <v>Healthcare</v>
      </c>
      <c r="F624" t="s">
        <v>128</v>
      </c>
    </row>
    <row r="625" spans="1:6" x14ac:dyDescent="0.25">
      <c r="A625" t="s">
        <v>3</v>
      </c>
      <c r="B625" t="s">
        <v>3</v>
      </c>
      <c r="C625">
        <v>0.56999999999999995</v>
      </c>
      <c r="D625" t="s">
        <v>49</v>
      </c>
      <c r="E625" t="str">
        <f>VLOOKUP(D625,mappings!A:B,2,FALSE)</f>
        <v>Healthcare</v>
      </c>
      <c r="F625" t="s">
        <v>128</v>
      </c>
    </row>
    <row r="626" spans="1:6" x14ac:dyDescent="0.25">
      <c r="A626" t="s">
        <v>3</v>
      </c>
      <c r="B626" t="s">
        <v>3</v>
      </c>
      <c r="C626">
        <v>0.56999999999999995</v>
      </c>
      <c r="D626" t="s">
        <v>14</v>
      </c>
      <c r="E626" t="str">
        <f>VLOOKUP(D626,mappings!A:B,2,FALSE)</f>
        <v>Creative</v>
      </c>
      <c r="F626" t="s">
        <v>128</v>
      </c>
    </row>
    <row r="627" spans="1:6" x14ac:dyDescent="0.25">
      <c r="A627" t="s">
        <v>3</v>
      </c>
      <c r="B627" t="s">
        <v>3</v>
      </c>
      <c r="C627">
        <v>0.56999999999999995</v>
      </c>
      <c r="D627" t="s">
        <v>41</v>
      </c>
      <c r="E627" t="str">
        <f>VLOOKUP(D627,mappings!A:B,2,FALSE)</f>
        <v>Healthcare</v>
      </c>
      <c r="F627" t="s">
        <v>128</v>
      </c>
    </row>
    <row r="628" spans="1:6" x14ac:dyDescent="0.25">
      <c r="A628" t="s">
        <v>3</v>
      </c>
      <c r="B628" t="s">
        <v>3</v>
      </c>
      <c r="C628">
        <v>0.56000000000000005</v>
      </c>
      <c r="D628" t="s">
        <v>42</v>
      </c>
      <c r="E628" t="str">
        <f>VLOOKUP(D628,mappings!A:B,2,FALSE)</f>
        <v>Healthcare</v>
      </c>
      <c r="F628" t="s">
        <v>128</v>
      </c>
    </row>
    <row r="629" spans="1:6" x14ac:dyDescent="0.25">
      <c r="A629" t="s">
        <v>3</v>
      </c>
      <c r="B629" t="s">
        <v>3</v>
      </c>
      <c r="C629">
        <v>0.56000000000000005</v>
      </c>
      <c r="D629" t="s">
        <v>57</v>
      </c>
      <c r="E629" t="str">
        <f>VLOOKUP(D629,mappings!A:B,2,FALSE)</f>
        <v>Finance</v>
      </c>
      <c r="F629" t="s">
        <v>128</v>
      </c>
    </row>
    <row r="630" spans="1:6" x14ac:dyDescent="0.25">
      <c r="A630" t="s">
        <v>3</v>
      </c>
      <c r="B630" t="s">
        <v>3</v>
      </c>
      <c r="C630">
        <v>0.56000000000000005</v>
      </c>
      <c r="D630" t="s">
        <v>20</v>
      </c>
      <c r="E630" t="str">
        <f>VLOOKUP(D630,mappings!A:B,2,FALSE)</f>
        <v>Hospitality</v>
      </c>
      <c r="F630" t="s">
        <v>128</v>
      </c>
    </row>
    <row r="631" spans="1:6" x14ac:dyDescent="0.25">
      <c r="A631" t="s">
        <v>3</v>
      </c>
      <c r="B631" t="s">
        <v>3</v>
      </c>
      <c r="C631">
        <v>0.56000000000000005</v>
      </c>
      <c r="D631" t="s">
        <v>29</v>
      </c>
      <c r="E631" t="str">
        <f>VLOOKUP(D631,mappings!A:B,2,FALSE)</f>
        <v>Creative</v>
      </c>
      <c r="F631" t="s">
        <v>128</v>
      </c>
    </row>
    <row r="632" spans="1:6" x14ac:dyDescent="0.25">
      <c r="A632" t="s">
        <v>3</v>
      </c>
      <c r="B632" t="s">
        <v>3</v>
      </c>
      <c r="C632">
        <v>0.56000000000000005</v>
      </c>
      <c r="D632" t="s">
        <v>75</v>
      </c>
      <c r="E632" t="str">
        <f>VLOOKUP(D632,mappings!A:B,2,FALSE)</f>
        <v>STEM</v>
      </c>
      <c r="F632" t="s">
        <v>128</v>
      </c>
    </row>
    <row r="633" spans="1:6" x14ac:dyDescent="0.25">
      <c r="A633" t="s">
        <v>3</v>
      </c>
      <c r="B633" t="s">
        <v>3</v>
      </c>
      <c r="C633">
        <v>0.56000000000000005</v>
      </c>
      <c r="D633" t="s">
        <v>39</v>
      </c>
      <c r="E633" t="str">
        <f>VLOOKUP(D633,mappings!A:B,2,FALSE)</f>
        <v>Administration</v>
      </c>
      <c r="F633" t="s">
        <v>128</v>
      </c>
    </row>
    <row r="634" spans="1:6" x14ac:dyDescent="0.25">
      <c r="A634" t="s">
        <v>3</v>
      </c>
      <c r="B634" t="s">
        <v>3</v>
      </c>
      <c r="C634">
        <v>0.56000000000000005</v>
      </c>
      <c r="D634" t="s">
        <v>60</v>
      </c>
      <c r="E634" t="str">
        <f>VLOOKUP(D634,mappings!A:B,2,FALSE)</f>
        <v>Finance</v>
      </c>
      <c r="F634" t="s">
        <v>128</v>
      </c>
    </row>
    <row r="635" spans="1:6" x14ac:dyDescent="0.25">
      <c r="A635" t="s">
        <v>3</v>
      </c>
      <c r="B635" t="s">
        <v>3</v>
      </c>
      <c r="C635">
        <v>0.56000000000000005</v>
      </c>
      <c r="D635" t="s">
        <v>83</v>
      </c>
      <c r="E635" t="str">
        <f>VLOOKUP(D635,mappings!A:B,2,FALSE)</f>
        <v>Sales</v>
      </c>
      <c r="F635" t="s">
        <v>128</v>
      </c>
    </row>
    <row r="636" spans="1:6" x14ac:dyDescent="0.25">
      <c r="A636" t="s">
        <v>3</v>
      </c>
      <c r="B636" t="s">
        <v>3</v>
      </c>
      <c r="C636">
        <v>0.56000000000000005</v>
      </c>
      <c r="D636" t="s">
        <v>59</v>
      </c>
      <c r="E636" t="str">
        <f>VLOOKUP(D636,mappings!A:B,2,FALSE)</f>
        <v>Real Estate</v>
      </c>
      <c r="F636" t="s">
        <v>128</v>
      </c>
    </row>
    <row r="637" spans="1:6" x14ac:dyDescent="0.25">
      <c r="A637" t="s">
        <v>3</v>
      </c>
      <c r="B637" t="s">
        <v>3</v>
      </c>
      <c r="C637">
        <v>0.56000000000000005</v>
      </c>
      <c r="D637" t="s">
        <v>94</v>
      </c>
      <c r="E637" t="str">
        <f>VLOOKUP(D637,mappings!A:B,2,FALSE)</f>
        <v>Management</v>
      </c>
      <c r="F637" t="s">
        <v>128</v>
      </c>
    </row>
    <row r="638" spans="1:6" x14ac:dyDescent="0.25">
      <c r="A638" t="s">
        <v>3</v>
      </c>
      <c r="B638" t="s">
        <v>3</v>
      </c>
      <c r="C638">
        <v>0.56000000000000005</v>
      </c>
      <c r="D638" t="s">
        <v>21</v>
      </c>
      <c r="E638" t="str">
        <f>VLOOKUP(D638,mappings!A:B,2,FALSE)</f>
        <v>Trades</v>
      </c>
      <c r="F638" t="s">
        <v>128</v>
      </c>
    </row>
    <row r="639" spans="1:6" x14ac:dyDescent="0.25">
      <c r="A639" t="s">
        <v>3</v>
      </c>
      <c r="B639" t="s">
        <v>3</v>
      </c>
      <c r="C639">
        <v>0.56000000000000005</v>
      </c>
      <c r="D639" t="s">
        <v>11</v>
      </c>
      <c r="E639" t="str">
        <f>VLOOKUP(D639,mappings!A:B,2,FALSE)</f>
        <v>Human Resources</v>
      </c>
      <c r="F639" t="s">
        <v>128</v>
      </c>
    </row>
    <row r="640" spans="1:6" x14ac:dyDescent="0.25">
      <c r="A640" t="s">
        <v>3</v>
      </c>
      <c r="B640" t="s">
        <v>3</v>
      </c>
      <c r="C640">
        <v>0.55000000000000004</v>
      </c>
      <c r="D640" t="s">
        <v>30</v>
      </c>
      <c r="E640" t="str">
        <f>VLOOKUP(D640,mappings!A:B,2,FALSE)</f>
        <v>STEM</v>
      </c>
      <c r="F640" t="s">
        <v>128</v>
      </c>
    </row>
    <row r="641" spans="1:6" x14ac:dyDescent="0.25">
      <c r="A641" t="s">
        <v>3</v>
      </c>
      <c r="B641" t="s">
        <v>3</v>
      </c>
      <c r="C641">
        <v>0.55000000000000004</v>
      </c>
      <c r="D641" t="s">
        <v>58</v>
      </c>
      <c r="E641" t="str">
        <f>VLOOKUP(D641,mappings!A:B,2,FALSE)</f>
        <v>Education</v>
      </c>
      <c r="F641" t="s">
        <v>128</v>
      </c>
    </row>
    <row r="642" spans="1:6" x14ac:dyDescent="0.25">
      <c r="A642" t="s">
        <v>3</v>
      </c>
      <c r="B642" t="s">
        <v>3</v>
      </c>
      <c r="C642">
        <v>0.55000000000000004</v>
      </c>
      <c r="D642" t="s">
        <v>18</v>
      </c>
      <c r="E642" t="str">
        <f>VLOOKUP(D642,mappings!A:B,2,FALSE)</f>
        <v>Finance</v>
      </c>
      <c r="F642" t="s">
        <v>128</v>
      </c>
    </row>
    <row r="643" spans="1:6" x14ac:dyDescent="0.25">
      <c r="A643" t="s">
        <v>3</v>
      </c>
      <c r="B643" t="s">
        <v>3</v>
      </c>
      <c r="C643">
        <v>0.55000000000000004</v>
      </c>
      <c r="D643" t="s">
        <v>85</v>
      </c>
      <c r="E643" t="str">
        <f>VLOOKUP(D643,mappings!A:B,2,FALSE)</f>
        <v>STEM</v>
      </c>
      <c r="F643" t="s">
        <v>128</v>
      </c>
    </row>
    <row r="644" spans="1:6" x14ac:dyDescent="0.25">
      <c r="A644" t="s">
        <v>3</v>
      </c>
      <c r="B644" t="s">
        <v>3</v>
      </c>
      <c r="C644">
        <v>0.55000000000000004</v>
      </c>
      <c r="D644" t="s">
        <v>33</v>
      </c>
      <c r="E644" t="str">
        <f>VLOOKUP(D644,mappings!A:B,2,FALSE)</f>
        <v>Education</v>
      </c>
      <c r="F644" t="s">
        <v>128</v>
      </c>
    </row>
    <row r="645" spans="1:6" x14ac:dyDescent="0.25">
      <c r="A645" t="s">
        <v>3</v>
      </c>
      <c r="B645" t="s">
        <v>3</v>
      </c>
      <c r="C645">
        <v>0.55000000000000004</v>
      </c>
      <c r="D645" t="s">
        <v>76</v>
      </c>
      <c r="E645" t="str">
        <f>VLOOKUP(D645,mappings!A:B,2,FALSE)</f>
        <v>Real Estate</v>
      </c>
      <c r="F645" t="s">
        <v>128</v>
      </c>
    </row>
    <row r="646" spans="1:6" x14ac:dyDescent="0.25">
      <c r="A646" t="s">
        <v>3</v>
      </c>
      <c r="B646" t="s">
        <v>3</v>
      </c>
      <c r="C646">
        <v>0.55000000000000004</v>
      </c>
      <c r="D646" t="s">
        <v>12</v>
      </c>
      <c r="E646" t="str">
        <f>VLOOKUP(D646,mappings!A:B,2,FALSE)</f>
        <v>STEM</v>
      </c>
      <c r="F646" t="s">
        <v>128</v>
      </c>
    </row>
    <row r="647" spans="1:6" x14ac:dyDescent="0.25">
      <c r="A647" t="s">
        <v>3</v>
      </c>
      <c r="B647" t="s">
        <v>3</v>
      </c>
      <c r="C647">
        <v>0.55000000000000004</v>
      </c>
      <c r="D647" t="s">
        <v>37</v>
      </c>
      <c r="E647" t="str">
        <f>VLOOKUP(D647,mappings!A:B,2,FALSE)</f>
        <v>Marketing</v>
      </c>
      <c r="F647" t="s">
        <v>128</v>
      </c>
    </row>
    <row r="648" spans="1:6" x14ac:dyDescent="0.25">
      <c r="A648" t="s">
        <v>3</v>
      </c>
      <c r="B648" t="s">
        <v>3</v>
      </c>
      <c r="C648">
        <v>0.55000000000000004</v>
      </c>
      <c r="D648" t="s">
        <v>13</v>
      </c>
      <c r="E648" t="str">
        <f>VLOOKUP(D648,mappings!A:B,2,FALSE)</f>
        <v>Administration</v>
      </c>
      <c r="F648" t="s">
        <v>128</v>
      </c>
    </row>
    <row r="649" spans="1:6" x14ac:dyDescent="0.25">
      <c r="A649" t="s">
        <v>3</v>
      </c>
      <c r="B649" t="s">
        <v>3</v>
      </c>
      <c r="C649">
        <v>0.55000000000000004</v>
      </c>
      <c r="D649" t="s">
        <v>35</v>
      </c>
      <c r="E649" t="str">
        <f>VLOOKUP(D649,mappings!A:B,2,FALSE)</f>
        <v>Education</v>
      </c>
      <c r="F649" t="s">
        <v>128</v>
      </c>
    </row>
    <row r="650" spans="1:6" x14ac:dyDescent="0.25">
      <c r="A650" t="s">
        <v>3</v>
      </c>
      <c r="B650" t="s">
        <v>3</v>
      </c>
      <c r="C650">
        <v>0.55000000000000004</v>
      </c>
      <c r="D650" t="s">
        <v>66</v>
      </c>
      <c r="E650" t="str">
        <f>VLOOKUP(D650,mappings!A:B,2,FALSE)</f>
        <v>Healthcare</v>
      </c>
      <c r="F650" t="s">
        <v>128</v>
      </c>
    </row>
    <row r="651" spans="1:6" x14ac:dyDescent="0.25">
      <c r="A651" t="s">
        <v>3</v>
      </c>
      <c r="B651" t="s">
        <v>3</v>
      </c>
      <c r="C651">
        <v>0.55000000000000004</v>
      </c>
      <c r="D651" t="s">
        <v>103</v>
      </c>
      <c r="E651" t="str">
        <f>VLOOKUP(D651,mappings!A:B,2,FALSE)</f>
        <v>Healthcare</v>
      </c>
      <c r="F651" t="s">
        <v>128</v>
      </c>
    </row>
    <row r="652" spans="1:6" x14ac:dyDescent="0.25">
      <c r="A652" t="s">
        <v>3</v>
      </c>
      <c r="B652" t="s">
        <v>3</v>
      </c>
      <c r="C652">
        <v>0.55000000000000004</v>
      </c>
      <c r="D652" t="s">
        <v>46</v>
      </c>
      <c r="E652" t="str">
        <f>VLOOKUP(D652,mappings!A:B,2,FALSE)</f>
        <v>STEM</v>
      </c>
      <c r="F652" t="s">
        <v>128</v>
      </c>
    </row>
    <row r="653" spans="1:6" x14ac:dyDescent="0.25">
      <c r="A653" t="s">
        <v>3</v>
      </c>
      <c r="B653" t="s">
        <v>3</v>
      </c>
      <c r="C653">
        <v>0.55000000000000004</v>
      </c>
      <c r="D653" t="s">
        <v>77</v>
      </c>
      <c r="E653" t="str">
        <f>VLOOKUP(D653,mappings!A:B,2,FALSE)</f>
        <v>Legal</v>
      </c>
      <c r="F653" t="s">
        <v>128</v>
      </c>
    </row>
    <row r="654" spans="1:6" x14ac:dyDescent="0.25">
      <c r="A654" t="s">
        <v>3</v>
      </c>
      <c r="B654" t="s">
        <v>3</v>
      </c>
      <c r="C654">
        <v>0.55000000000000004</v>
      </c>
      <c r="D654" t="s">
        <v>15</v>
      </c>
      <c r="E654" t="str">
        <f>VLOOKUP(D654,mappings!A:B,2,FALSE)</f>
        <v>Trades</v>
      </c>
      <c r="F654" t="s">
        <v>128</v>
      </c>
    </row>
    <row r="655" spans="1:6" x14ac:dyDescent="0.25">
      <c r="A655" t="s">
        <v>3</v>
      </c>
      <c r="B655" t="s">
        <v>3</v>
      </c>
      <c r="C655">
        <v>0.55000000000000004</v>
      </c>
      <c r="D655" t="s">
        <v>19</v>
      </c>
      <c r="E655" t="str">
        <f>VLOOKUP(D655,mappings!A:B,2,FALSE)</f>
        <v>Finance</v>
      </c>
      <c r="F655" t="s">
        <v>128</v>
      </c>
    </row>
    <row r="656" spans="1:6" x14ac:dyDescent="0.25">
      <c r="A656" t="s">
        <v>3</v>
      </c>
      <c r="B656" t="s">
        <v>3</v>
      </c>
      <c r="C656">
        <v>0.55000000000000004</v>
      </c>
      <c r="D656" t="s">
        <v>82</v>
      </c>
      <c r="E656" t="str">
        <f>VLOOKUP(D656,mappings!A:B,2,FALSE)</f>
        <v>STEM</v>
      </c>
      <c r="F656" t="s">
        <v>128</v>
      </c>
    </row>
    <row r="657" spans="1:6" x14ac:dyDescent="0.25">
      <c r="A657" t="s">
        <v>3</v>
      </c>
      <c r="B657" t="s">
        <v>3</v>
      </c>
      <c r="C657">
        <v>0.55000000000000004</v>
      </c>
      <c r="D657" t="s">
        <v>61</v>
      </c>
      <c r="E657" t="str">
        <f>VLOOKUP(D657,mappings!A:B,2,FALSE)</f>
        <v>STEM</v>
      </c>
      <c r="F657" t="s">
        <v>128</v>
      </c>
    </row>
    <row r="658" spans="1:6" x14ac:dyDescent="0.25">
      <c r="A658" t="s">
        <v>3</v>
      </c>
      <c r="B658" t="s">
        <v>3</v>
      </c>
      <c r="C658">
        <v>0.55000000000000004</v>
      </c>
      <c r="D658" t="s">
        <v>67</v>
      </c>
      <c r="E658" t="str">
        <f>VLOOKUP(D658,mappings!A:B,2,FALSE)</f>
        <v>Finance</v>
      </c>
      <c r="F658" t="s">
        <v>128</v>
      </c>
    </row>
    <row r="659" spans="1:6" x14ac:dyDescent="0.25">
      <c r="A659" t="s">
        <v>3</v>
      </c>
      <c r="B659" t="s">
        <v>3</v>
      </c>
      <c r="C659">
        <v>0.55000000000000004</v>
      </c>
      <c r="D659" t="s">
        <v>90</v>
      </c>
      <c r="E659" t="str">
        <f>VLOOKUP(D659,mappings!A:B,2,FALSE)</f>
        <v>Marketing</v>
      </c>
      <c r="F659" t="s">
        <v>128</v>
      </c>
    </row>
    <row r="660" spans="1:6" x14ac:dyDescent="0.25">
      <c r="A660" t="s">
        <v>3</v>
      </c>
      <c r="B660" t="s">
        <v>3</v>
      </c>
      <c r="C660">
        <v>0.55000000000000004</v>
      </c>
      <c r="D660" t="s">
        <v>74</v>
      </c>
      <c r="E660" t="str">
        <f>VLOOKUP(D660,mappings!A:B,2,FALSE)</f>
        <v>Healthcare</v>
      </c>
      <c r="F660" t="s">
        <v>128</v>
      </c>
    </row>
    <row r="661" spans="1:6" x14ac:dyDescent="0.25">
      <c r="A661" t="s">
        <v>3</v>
      </c>
      <c r="B661" t="s">
        <v>3</v>
      </c>
      <c r="C661">
        <v>0.54</v>
      </c>
      <c r="D661" t="s">
        <v>27</v>
      </c>
      <c r="E661" t="str">
        <f>VLOOKUP(D661,mappings!A:B,2,FALSE)</f>
        <v>Management</v>
      </c>
      <c r="F661" t="s">
        <v>128</v>
      </c>
    </row>
    <row r="662" spans="1:6" x14ac:dyDescent="0.25">
      <c r="A662" t="s">
        <v>3</v>
      </c>
      <c r="B662" t="s">
        <v>3</v>
      </c>
      <c r="C662">
        <v>0.54</v>
      </c>
      <c r="D662" t="s">
        <v>63</v>
      </c>
      <c r="E662" t="str">
        <f>VLOOKUP(D662,mappings!A:B,2,FALSE)</f>
        <v>Finance</v>
      </c>
      <c r="F662" t="s">
        <v>128</v>
      </c>
    </row>
    <row r="663" spans="1:6" x14ac:dyDescent="0.25">
      <c r="A663" t="s">
        <v>3</v>
      </c>
      <c r="B663" t="s">
        <v>3</v>
      </c>
      <c r="C663">
        <v>0.54</v>
      </c>
      <c r="D663" t="s">
        <v>52</v>
      </c>
      <c r="E663" t="str">
        <f>VLOOKUP(D663,mappings!A:B,2,FALSE)</f>
        <v>Operations</v>
      </c>
      <c r="F663" t="s">
        <v>128</v>
      </c>
    </row>
    <row r="664" spans="1:6" x14ac:dyDescent="0.25">
      <c r="A664" t="s">
        <v>3</v>
      </c>
      <c r="B664" t="s">
        <v>3</v>
      </c>
      <c r="C664">
        <v>0.54</v>
      </c>
      <c r="D664" t="s">
        <v>84</v>
      </c>
      <c r="E664" t="str">
        <f>VLOOKUP(D664,mappings!A:B,2,FALSE)</f>
        <v>Hospitality</v>
      </c>
      <c r="F664" t="s">
        <v>128</v>
      </c>
    </row>
    <row r="665" spans="1:6" x14ac:dyDescent="0.25">
      <c r="A665" t="s">
        <v>3</v>
      </c>
      <c r="B665" t="s">
        <v>3</v>
      </c>
      <c r="C665">
        <v>0.54</v>
      </c>
      <c r="D665" t="s">
        <v>62</v>
      </c>
      <c r="E665" t="str">
        <f>VLOOKUP(D665,mappings!A:B,2,FALSE)</f>
        <v>Marketing</v>
      </c>
      <c r="F665" t="s">
        <v>128</v>
      </c>
    </row>
    <row r="666" spans="1:6" x14ac:dyDescent="0.25">
      <c r="A666" t="s">
        <v>3</v>
      </c>
      <c r="B666" t="s">
        <v>3</v>
      </c>
      <c r="C666">
        <v>0.54</v>
      </c>
      <c r="D666" t="s">
        <v>28</v>
      </c>
      <c r="E666" t="str">
        <f>VLOOKUP(D666,mappings!A:B,2,FALSE)</f>
        <v>STEM</v>
      </c>
      <c r="F666" t="s">
        <v>128</v>
      </c>
    </row>
    <row r="667" spans="1:6" x14ac:dyDescent="0.25">
      <c r="A667" t="s">
        <v>3</v>
      </c>
      <c r="B667" t="s">
        <v>3</v>
      </c>
      <c r="C667">
        <v>0.54</v>
      </c>
      <c r="D667" t="s">
        <v>81</v>
      </c>
      <c r="E667" t="str">
        <f>VLOOKUP(D667,mappings!A:B,2,FALSE)</f>
        <v>Legal</v>
      </c>
      <c r="F667" t="s">
        <v>128</v>
      </c>
    </row>
    <row r="668" spans="1:6" x14ac:dyDescent="0.25">
      <c r="A668" t="s">
        <v>3</v>
      </c>
      <c r="B668" t="s">
        <v>3</v>
      </c>
      <c r="C668">
        <v>0.54</v>
      </c>
      <c r="D668" t="s">
        <v>54</v>
      </c>
      <c r="E668" t="str">
        <f>VLOOKUP(D668,mappings!A:B,2,FALSE)</f>
        <v>Marketing</v>
      </c>
      <c r="F668" t="s">
        <v>128</v>
      </c>
    </row>
    <row r="669" spans="1:6" x14ac:dyDescent="0.25">
      <c r="A669" t="s">
        <v>3</v>
      </c>
      <c r="B669" t="s">
        <v>3</v>
      </c>
      <c r="C669">
        <v>0.54</v>
      </c>
      <c r="D669" t="s">
        <v>96</v>
      </c>
      <c r="E669" t="str">
        <f>VLOOKUP(D669,mappings!A:B,2,FALSE)</f>
        <v>Sales</v>
      </c>
      <c r="F669" t="s">
        <v>128</v>
      </c>
    </row>
    <row r="670" spans="1:6" x14ac:dyDescent="0.25">
      <c r="A670" t="s">
        <v>3</v>
      </c>
      <c r="B670" t="s">
        <v>3</v>
      </c>
      <c r="C670">
        <v>0.54</v>
      </c>
      <c r="D670" t="s">
        <v>65</v>
      </c>
      <c r="E670" t="str">
        <f>VLOOKUP(D670,mappings!A:B,2,FALSE)</f>
        <v>Management</v>
      </c>
      <c r="F670" t="s">
        <v>128</v>
      </c>
    </row>
    <row r="671" spans="1:6" x14ac:dyDescent="0.25">
      <c r="A671" t="s">
        <v>3</v>
      </c>
      <c r="B671" t="s">
        <v>3</v>
      </c>
      <c r="C671">
        <v>0.54</v>
      </c>
      <c r="D671" t="s">
        <v>100</v>
      </c>
      <c r="E671" t="str">
        <f>VLOOKUP(D671,mappings!A:B,2,FALSE)</f>
        <v>Management</v>
      </c>
      <c r="F671" t="s">
        <v>128</v>
      </c>
    </row>
    <row r="672" spans="1:6" x14ac:dyDescent="0.25">
      <c r="A672" t="s">
        <v>3</v>
      </c>
      <c r="B672" t="s">
        <v>3</v>
      </c>
      <c r="C672">
        <v>0.54</v>
      </c>
      <c r="D672" t="s">
        <v>16</v>
      </c>
      <c r="E672" t="str">
        <f>VLOOKUP(D672,mappings!A:B,2,FALSE)</f>
        <v>Finance</v>
      </c>
      <c r="F672" t="s">
        <v>128</v>
      </c>
    </row>
    <row r="673" spans="1:6" x14ac:dyDescent="0.25">
      <c r="A673" t="s">
        <v>3</v>
      </c>
      <c r="B673" t="s">
        <v>3</v>
      </c>
      <c r="C673">
        <v>0.54</v>
      </c>
      <c r="D673" t="s">
        <v>48</v>
      </c>
      <c r="E673" t="str">
        <f>VLOOKUP(D673,mappings!A:B,2,FALSE)</f>
        <v>STEM</v>
      </c>
      <c r="F673" t="s">
        <v>128</v>
      </c>
    </row>
    <row r="674" spans="1:6" x14ac:dyDescent="0.25">
      <c r="A674" t="s">
        <v>3</v>
      </c>
      <c r="B674" t="s">
        <v>3</v>
      </c>
      <c r="C674">
        <v>0.54</v>
      </c>
      <c r="D674" t="s">
        <v>53</v>
      </c>
      <c r="E674" t="str">
        <f>VLOOKUP(D674,mappings!A:B,2,FALSE)</f>
        <v>Healthcare</v>
      </c>
      <c r="F674" t="s">
        <v>128</v>
      </c>
    </row>
    <row r="675" spans="1:6" x14ac:dyDescent="0.25">
      <c r="A675" t="s">
        <v>3</v>
      </c>
      <c r="B675" t="s">
        <v>3</v>
      </c>
      <c r="C675">
        <v>0.54</v>
      </c>
      <c r="D675" t="s">
        <v>56</v>
      </c>
      <c r="E675" t="str">
        <f>VLOOKUP(D675,mappings!A:B,2,FALSE)</f>
        <v>STEM</v>
      </c>
      <c r="F675" t="s">
        <v>128</v>
      </c>
    </row>
    <row r="676" spans="1:6" x14ac:dyDescent="0.25">
      <c r="A676" t="s">
        <v>3</v>
      </c>
      <c r="B676" t="s">
        <v>3</v>
      </c>
      <c r="C676">
        <v>0.54</v>
      </c>
      <c r="D676" t="s">
        <v>95</v>
      </c>
      <c r="E676" t="str">
        <f>VLOOKUP(D676,mappings!A:B,2,FALSE)</f>
        <v>STEM</v>
      </c>
      <c r="F676" t="s">
        <v>128</v>
      </c>
    </row>
    <row r="677" spans="1:6" x14ac:dyDescent="0.25">
      <c r="A677" t="s">
        <v>3</v>
      </c>
      <c r="B677" t="s">
        <v>3</v>
      </c>
      <c r="C677">
        <v>0.54</v>
      </c>
      <c r="D677" t="s">
        <v>44</v>
      </c>
      <c r="E677" t="str">
        <f>VLOOKUP(D677,mappings!A:B,2,FALSE)</f>
        <v>Healthcare</v>
      </c>
      <c r="F677" t="s">
        <v>128</v>
      </c>
    </row>
    <row r="678" spans="1:6" x14ac:dyDescent="0.25">
      <c r="A678" t="s">
        <v>3</v>
      </c>
      <c r="B678" t="s">
        <v>3</v>
      </c>
      <c r="C678">
        <v>0.54</v>
      </c>
      <c r="D678" t="s">
        <v>79</v>
      </c>
      <c r="E678" t="str">
        <f>VLOOKUP(D678,mappings!A:B,2,FALSE)</f>
        <v>Marketing</v>
      </c>
      <c r="F678" t="s">
        <v>128</v>
      </c>
    </row>
    <row r="679" spans="1:6" x14ac:dyDescent="0.25">
      <c r="A679" t="s">
        <v>3</v>
      </c>
      <c r="B679" t="s">
        <v>3</v>
      </c>
      <c r="C679">
        <v>0.53</v>
      </c>
      <c r="D679" t="s">
        <v>86</v>
      </c>
      <c r="E679" t="str">
        <f>VLOOKUP(D679,mappings!A:B,2,FALSE)</f>
        <v>Finance</v>
      </c>
      <c r="F679" t="s">
        <v>128</v>
      </c>
    </row>
    <row r="680" spans="1:6" x14ac:dyDescent="0.25">
      <c r="A680" t="s">
        <v>3</v>
      </c>
      <c r="B680" t="s">
        <v>3</v>
      </c>
      <c r="C680">
        <v>0.53</v>
      </c>
      <c r="D680" t="s">
        <v>78</v>
      </c>
      <c r="E680" t="str">
        <f>VLOOKUP(D680,mappings!A:B,2,FALSE)</f>
        <v>Hospitality</v>
      </c>
      <c r="F680" t="s">
        <v>128</v>
      </c>
    </row>
    <row r="681" spans="1:6" x14ac:dyDescent="0.25">
      <c r="A681" t="s">
        <v>3</v>
      </c>
      <c r="B681" t="s">
        <v>3</v>
      </c>
      <c r="C681">
        <v>0.53</v>
      </c>
      <c r="D681" t="s">
        <v>88</v>
      </c>
      <c r="E681" t="str">
        <f>VLOOKUP(D681,mappings!A:B,2,FALSE)</f>
        <v>Healthcare</v>
      </c>
      <c r="F681" t="s">
        <v>128</v>
      </c>
    </row>
    <row r="682" spans="1:6" x14ac:dyDescent="0.25">
      <c r="A682" t="s">
        <v>3</v>
      </c>
      <c r="B682" t="s">
        <v>3</v>
      </c>
      <c r="C682">
        <v>0.53</v>
      </c>
      <c r="D682" t="s">
        <v>31</v>
      </c>
      <c r="E682" t="str">
        <f>VLOOKUP(D682,mappings!A:B,2,FALSE)</f>
        <v>STEM</v>
      </c>
      <c r="F682" t="s">
        <v>128</v>
      </c>
    </row>
    <row r="683" spans="1:6" x14ac:dyDescent="0.25">
      <c r="A683" t="s">
        <v>3</v>
      </c>
      <c r="B683" t="s">
        <v>3</v>
      </c>
      <c r="C683">
        <v>0.53</v>
      </c>
      <c r="D683" t="s">
        <v>22</v>
      </c>
      <c r="E683" t="str">
        <f>VLOOKUP(D683,mappings!A:B,2,FALSE)</f>
        <v>Management</v>
      </c>
      <c r="F683" t="s">
        <v>128</v>
      </c>
    </row>
    <row r="684" spans="1:6" x14ac:dyDescent="0.25">
      <c r="A684" t="s">
        <v>3</v>
      </c>
      <c r="B684" t="s">
        <v>3</v>
      </c>
      <c r="C684">
        <v>0.53</v>
      </c>
      <c r="D684" t="s">
        <v>80</v>
      </c>
      <c r="E684" t="str">
        <f>VLOOKUP(D684,mappings!A:B,2,FALSE)</f>
        <v>Hospitality</v>
      </c>
      <c r="F684" t="s">
        <v>128</v>
      </c>
    </row>
    <row r="685" spans="1:6" x14ac:dyDescent="0.25">
      <c r="A685" t="s">
        <v>3</v>
      </c>
      <c r="B685" t="s">
        <v>3</v>
      </c>
      <c r="C685">
        <v>0.53</v>
      </c>
      <c r="D685" t="s">
        <v>89</v>
      </c>
      <c r="E685" t="str">
        <f>VLOOKUP(D685,mappings!A:B,2,FALSE)</f>
        <v>Finance</v>
      </c>
      <c r="F685" t="s">
        <v>128</v>
      </c>
    </row>
    <row r="686" spans="1:6" x14ac:dyDescent="0.25">
      <c r="A686" t="s">
        <v>3</v>
      </c>
      <c r="B686" t="s">
        <v>3</v>
      </c>
      <c r="C686">
        <v>0.53</v>
      </c>
      <c r="D686" t="s">
        <v>71</v>
      </c>
      <c r="E686" t="str">
        <f>VLOOKUP(D686,mappings!A:B,2,FALSE)</f>
        <v>STEM</v>
      </c>
      <c r="F686" t="s">
        <v>128</v>
      </c>
    </row>
    <row r="687" spans="1:6" x14ac:dyDescent="0.25">
      <c r="A687" t="s">
        <v>3</v>
      </c>
      <c r="B687" t="s">
        <v>3</v>
      </c>
      <c r="C687">
        <v>0.53</v>
      </c>
      <c r="D687" t="s">
        <v>102</v>
      </c>
      <c r="E687" t="str">
        <f>VLOOKUP(D687,mappings!A:B,2,FALSE)</f>
        <v>Operations</v>
      </c>
      <c r="F687" t="s">
        <v>128</v>
      </c>
    </row>
    <row r="688" spans="1:6" x14ac:dyDescent="0.25">
      <c r="A688" t="s">
        <v>3</v>
      </c>
      <c r="B688" t="s">
        <v>3</v>
      </c>
      <c r="C688">
        <v>0.52</v>
      </c>
      <c r="D688" t="s">
        <v>34</v>
      </c>
      <c r="E688" t="str">
        <f>VLOOKUP(D688,mappings!A:B,2,FALSE)</f>
        <v>STEM</v>
      </c>
      <c r="F688" t="s">
        <v>128</v>
      </c>
    </row>
    <row r="689" spans="1:6" x14ac:dyDescent="0.25">
      <c r="A689" t="s">
        <v>3</v>
      </c>
      <c r="B689" t="s">
        <v>3</v>
      </c>
      <c r="C689">
        <v>0.52</v>
      </c>
      <c r="D689" t="s">
        <v>70</v>
      </c>
      <c r="E689" t="str">
        <f>VLOOKUP(D689,mappings!A:B,2,FALSE)</f>
        <v>Operations</v>
      </c>
      <c r="F689" t="s">
        <v>128</v>
      </c>
    </row>
    <row r="690" spans="1:6" x14ac:dyDescent="0.25">
      <c r="A690" t="s">
        <v>3</v>
      </c>
      <c r="B690" t="s">
        <v>3</v>
      </c>
      <c r="C690">
        <v>0.52</v>
      </c>
      <c r="D690" t="s">
        <v>72</v>
      </c>
      <c r="E690" t="str">
        <f>VLOOKUP(D690,mappings!A:B,2,FALSE)</f>
        <v>STEM</v>
      </c>
      <c r="F690" t="s">
        <v>128</v>
      </c>
    </row>
    <row r="691" spans="1:6" x14ac:dyDescent="0.25">
      <c r="A691" t="s">
        <v>3</v>
      </c>
      <c r="B691" t="s">
        <v>3</v>
      </c>
      <c r="C691">
        <v>0.52</v>
      </c>
      <c r="D691" t="s">
        <v>93</v>
      </c>
      <c r="E691" t="str">
        <f>VLOOKUP(D691,mappings!A:B,2,FALSE)</f>
        <v>Legal</v>
      </c>
      <c r="F691" t="s">
        <v>128</v>
      </c>
    </row>
    <row r="692" spans="1:6" x14ac:dyDescent="0.25">
      <c r="A692" t="s">
        <v>3</v>
      </c>
      <c r="B692" t="s">
        <v>3</v>
      </c>
      <c r="C692">
        <v>0.52</v>
      </c>
      <c r="D692" t="s">
        <v>97</v>
      </c>
      <c r="E692" t="str">
        <f>VLOOKUP(D692,mappings!A:B,2,FALSE)</f>
        <v>STEM</v>
      </c>
      <c r="F692" t="s">
        <v>128</v>
      </c>
    </row>
    <row r="693" spans="1:6" x14ac:dyDescent="0.25">
      <c r="A693" t="s">
        <v>3</v>
      </c>
      <c r="B693" t="s">
        <v>3</v>
      </c>
      <c r="C693">
        <v>0.52</v>
      </c>
      <c r="D693" t="s">
        <v>101</v>
      </c>
      <c r="E693" t="str">
        <f>VLOOKUP(D693,mappings!A:B,2,FALSE)</f>
        <v>Healthcare</v>
      </c>
      <c r="F693" t="s">
        <v>128</v>
      </c>
    </row>
    <row r="694" spans="1:6" x14ac:dyDescent="0.25">
      <c r="A694" t="s">
        <v>3</v>
      </c>
      <c r="B694" t="s">
        <v>3</v>
      </c>
      <c r="C694">
        <v>0.52</v>
      </c>
      <c r="D694" t="s">
        <v>64</v>
      </c>
      <c r="E694" t="str">
        <f>VLOOKUP(D694,mappings!A:B,2,FALSE)</f>
        <v>STEM</v>
      </c>
      <c r="F694" t="s">
        <v>128</v>
      </c>
    </row>
    <row r="695" spans="1:6" x14ac:dyDescent="0.25">
      <c r="A695" t="s">
        <v>3</v>
      </c>
      <c r="B695" t="s">
        <v>3</v>
      </c>
      <c r="C695">
        <v>0.52</v>
      </c>
      <c r="D695" t="s">
        <v>98</v>
      </c>
      <c r="E695" t="str">
        <f>VLOOKUP(D695,mappings!A:B,2,FALSE)</f>
        <v>STEM</v>
      </c>
      <c r="F695" t="s">
        <v>128</v>
      </c>
    </row>
    <row r="696" spans="1:6" x14ac:dyDescent="0.25">
      <c r="A696" t="s">
        <v>3</v>
      </c>
      <c r="B696" t="s">
        <v>3</v>
      </c>
      <c r="C696">
        <v>0.52</v>
      </c>
      <c r="D696" t="s">
        <v>73</v>
      </c>
      <c r="E696" t="str">
        <f>VLOOKUP(D696,mappings!A:B,2,FALSE)</f>
        <v>Finance</v>
      </c>
      <c r="F696" t="s">
        <v>128</v>
      </c>
    </row>
    <row r="697" spans="1:6" x14ac:dyDescent="0.25">
      <c r="A697" t="s">
        <v>3</v>
      </c>
      <c r="B697" t="s">
        <v>3</v>
      </c>
      <c r="C697">
        <v>0.51</v>
      </c>
      <c r="D697" t="s">
        <v>92</v>
      </c>
      <c r="E697" t="str">
        <f>VLOOKUP(D697,mappings!A:B,2,FALSE)</f>
        <v>Management</v>
      </c>
      <c r="F697" t="s">
        <v>128</v>
      </c>
    </row>
    <row r="698" spans="1:6" x14ac:dyDescent="0.25">
      <c r="A698" t="s">
        <v>3</v>
      </c>
      <c r="B698" t="s">
        <v>3</v>
      </c>
      <c r="C698">
        <v>0.51</v>
      </c>
      <c r="D698" t="s">
        <v>55</v>
      </c>
      <c r="E698" t="str">
        <f>VLOOKUP(D698,mappings!A:B,2,FALSE)</f>
        <v>Human Resources</v>
      </c>
      <c r="F698" t="s">
        <v>128</v>
      </c>
    </row>
    <row r="699" spans="1:6" x14ac:dyDescent="0.25">
      <c r="A699" t="s">
        <v>3</v>
      </c>
      <c r="B699" t="s">
        <v>3</v>
      </c>
      <c r="C699">
        <v>0.51</v>
      </c>
      <c r="D699" t="s">
        <v>87</v>
      </c>
      <c r="E699" t="str">
        <f>VLOOKUP(D699,mappings!A:B,2,FALSE)</f>
        <v>Trades</v>
      </c>
      <c r="F699" t="s">
        <v>128</v>
      </c>
    </row>
    <row r="700" spans="1:6" x14ac:dyDescent="0.25">
      <c r="A700" t="s">
        <v>3</v>
      </c>
      <c r="B700" t="s">
        <v>3</v>
      </c>
      <c r="C700">
        <v>0.5</v>
      </c>
      <c r="D700" t="s">
        <v>69</v>
      </c>
      <c r="E700" t="str">
        <f>VLOOKUP(D700,mappings!A:B,2,FALSE)</f>
        <v>Hospitality</v>
      </c>
      <c r="F700" t="s">
        <v>128</v>
      </c>
    </row>
    <row r="701" spans="1:6" x14ac:dyDescent="0.25">
      <c r="A701" t="s">
        <v>3</v>
      </c>
      <c r="B701" t="s">
        <v>3</v>
      </c>
      <c r="C701">
        <v>0.5</v>
      </c>
      <c r="D701" t="s">
        <v>99</v>
      </c>
      <c r="E701" t="str">
        <f>VLOOKUP(D701,mappings!A:B,2,FALSE)</f>
        <v>Operations</v>
      </c>
      <c r="F701" t="s">
        <v>128</v>
      </c>
    </row>
    <row r="702" spans="1:6" x14ac:dyDescent="0.25">
      <c r="A702" t="s">
        <v>104</v>
      </c>
      <c r="B702" t="s">
        <v>104</v>
      </c>
      <c r="C702">
        <v>0.59</v>
      </c>
      <c r="D702" t="s">
        <v>10</v>
      </c>
      <c r="E702" t="str">
        <f>VLOOKUP(D702,mappings!A:B,2,FALSE)</f>
        <v>Healthcare</v>
      </c>
      <c r="F702" t="s">
        <v>128</v>
      </c>
    </row>
    <row r="703" spans="1:6" x14ac:dyDescent="0.25">
      <c r="A703" t="s">
        <v>104</v>
      </c>
      <c r="B703" t="s">
        <v>104</v>
      </c>
      <c r="C703">
        <v>0.59</v>
      </c>
      <c r="D703" t="s">
        <v>4</v>
      </c>
      <c r="E703" t="str">
        <f>VLOOKUP(D703,mappings!A:B,2,FALSE)</f>
        <v>Creative</v>
      </c>
      <c r="F703" t="s">
        <v>128</v>
      </c>
    </row>
    <row r="704" spans="1:6" x14ac:dyDescent="0.25">
      <c r="A704" t="s">
        <v>104</v>
      </c>
      <c r="B704" t="s">
        <v>104</v>
      </c>
      <c r="C704">
        <v>0.59</v>
      </c>
      <c r="D704" t="s">
        <v>38</v>
      </c>
      <c r="E704" t="str">
        <f>VLOOKUP(D704,mappings!A:B,2,FALSE)</f>
        <v>Healthcare</v>
      </c>
      <c r="F704" t="s">
        <v>128</v>
      </c>
    </row>
    <row r="705" spans="1:6" x14ac:dyDescent="0.25">
      <c r="A705" t="s">
        <v>104</v>
      </c>
      <c r="B705" t="s">
        <v>104</v>
      </c>
      <c r="C705">
        <v>0.57999999999999996</v>
      </c>
      <c r="D705" t="s">
        <v>24</v>
      </c>
      <c r="E705" t="str">
        <f>VLOOKUP(D705,mappings!A:B,2,FALSE)</f>
        <v>Education</v>
      </c>
      <c r="F705" t="s">
        <v>128</v>
      </c>
    </row>
    <row r="706" spans="1:6" x14ac:dyDescent="0.25">
      <c r="A706" t="s">
        <v>104</v>
      </c>
      <c r="B706" t="s">
        <v>104</v>
      </c>
      <c r="C706">
        <v>0.57999999999999996</v>
      </c>
      <c r="D706" t="s">
        <v>7</v>
      </c>
      <c r="E706" t="str">
        <f>VLOOKUP(D706,mappings!A:B,2,FALSE)</f>
        <v>Legal</v>
      </c>
      <c r="F706" t="s">
        <v>128</v>
      </c>
    </row>
    <row r="707" spans="1:6" x14ac:dyDescent="0.25">
      <c r="A707" t="s">
        <v>104</v>
      </c>
      <c r="B707" t="s">
        <v>104</v>
      </c>
      <c r="C707">
        <v>0.57999999999999996</v>
      </c>
      <c r="D707" t="s">
        <v>5</v>
      </c>
      <c r="E707" t="str">
        <f>VLOOKUP(D707,mappings!A:B,2,FALSE)</f>
        <v>Hospitality</v>
      </c>
      <c r="F707" t="s">
        <v>128</v>
      </c>
    </row>
    <row r="708" spans="1:6" x14ac:dyDescent="0.25">
      <c r="A708" t="s">
        <v>104</v>
      </c>
      <c r="B708" t="s">
        <v>104</v>
      </c>
      <c r="C708">
        <v>0.57999999999999996</v>
      </c>
      <c r="D708" t="s">
        <v>40</v>
      </c>
      <c r="E708" t="str">
        <f>VLOOKUP(D708,mappings!A:B,2,FALSE)</f>
        <v>STEM</v>
      </c>
      <c r="F708" t="s">
        <v>128</v>
      </c>
    </row>
    <row r="709" spans="1:6" x14ac:dyDescent="0.25">
      <c r="A709" t="s">
        <v>104</v>
      </c>
      <c r="B709" t="s">
        <v>104</v>
      </c>
      <c r="C709">
        <v>0.57999999999999996</v>
      </c>
      <c r="D709" t="s">
        <v>47</v>
      </c>
      <c r="E709" t="str">
        <f>VLOOKUP(D709,mappings!A:B,2,FALSE)</f>
        <v>Legal</v>
      </c>
      <c r="F709" t="s">
        <v>128</v>
      </c>
    </row>
    <row r="710" spans="1:6" x14ac:dyDescent="0.25">
      <c r="A710" t="s">
        <v>104</v>
      </c>
      <c r="B710" t="s">
        <v>104</v>
      </c>
      <c r="C710">
        <v>0.57999999999999996</v>
      </c>
      <c r="D710" t="s">
        <v>91</v>
      </c>
      <c r="E710" t="str">
        <f>VLOOKUP(D710,mappings!A:B,2,FALSE)</f>
        <v>Finance</v>
      </c>
      <c r="F710" t="s">
        <v>128</v>
      </c>
    </row>
    <row r="711" spans="1:6" x14ac:dyDescent="0.25">
      <c r="A711" t="s">
        <v>104</v>
      </c>
      <c r="B711" t="s">
        <v>104</v>
      </c>
      <c r="C711">
        <v>0.56999999999999995</v>
      </c>
      <c r="D711" t="s">
        <v>17</v>
      </c>
      <c r="E711" t="str">
        <f>VLOOKUP(D711,mappings!A:B,2,FALSE)</f>
        <v>Sales</v>
      </c>
      <c r="F711" t="s">
        <v>128</v>
      </c>
    </row>
    <row r="712" spans="1:6" x14ac:dyDescent="0.25">
      <c r="A712" t="s">
        <v>104</v>
      </c>
      <c r="B712" t="s">
        <v>104</v>
      </c>
      <c r="C712">
        <v>0.56999999999999995</v>
      </c>
      <c r="D712" t="s">
        <v>21</v>
      </c>
      <c r="E712" t="str">
        <f>VLOOKUP(D712,mappings!A:B,2,FALSE)</f>
        <v>Trades</v>
      </c>
      <c r="F712" t="s">
        <v>128</v>
      </c>
    </row>
    <row r="713" spans="1:6" x14ac:dyDescent="0.25">
      <c r="A713" t="s">
        <v>104</v>
      </c>
      <c r="B713" t="s">
        <v>104</v>
      </c>
      <c r="C713">
        <v>0.56999999999999995</v>
      </c>
      <c r="D713" t="s">
        <v>83</v>
      </c>
      <c r="E713" t="str">
        <f>VLOOKUP(D713,mappings!A:B,2,FALSE)</f>
        <v>Sales</v>
      </c>
      <c r="F713" t="s">
        <v>128</v>
      </c>
    </row>
    <row r="714" spans="1:6" x14ac:dyDescent="0.25">
      <c r="A714" t="s">
        <v>104</v>
      </c>
      <c r="B714" t="s">
        <v>104</v>
      </c>
      <c r="C714">
        <v>0.56999999999999995</v>
      </c>
      <c r="D714" t="s">
        <v>57</v>
      </c>
      <c r="E714" t="str">
        <f>VLOOKUP(D714,mappings!A:B,2,FALSE)</f>
        <v>Finance</v>
      </c>
      <c r="F714" t="s">
        <v>128</v>
      </c>
    </row>
    <row r="715" spans="1:6" x14ac:dyDescent="0.25">
      <c r="A715" t="s">
        <v>104</v>
      </c>
      <c r="B715" t="s">
        <v>104</v>
      </c>
      <c r="C715">
        <v>0.56999999999999995</v>
      </c>
      <c r="D715" t="s">
        <v>6</v>
      </c>
      <c r="E715" t="str">
        <f>VLOOKUP(D715,mappings!A:B,2,FALSE)</f>
        <v>Hospitality</v>
      </c>
      <c r="F715" t="s">
        <v>128</v>
      </c>
    </row>
    <row r="716" spans="1:6" x14ac:dyDescent="0.25">
      <c r="A716" t="s">
        <v>104</v>
      </c>
      <c r="B716" t="s">
        <v>104</v>
      </c>
      <c r="C716">
        <v>0.56999999999999995</v>
      </c>
      <c r="D716" t="s">
        <v>50</v>
      </c>
      <c r="E716" t="str">
        <f>VLOOKUP(D716,mappings!A:B,2,FALSE)</f>
        <v>Education</v>
      </c>
      <c r="F716" t="s">
        <v>128</v>
      </c>
    </row>
    <row r="717" spans="1:6" x14ac:dyDescent="0.25">
      <c r="A717" t="s">
        <v>104</v>
      </c>
      <c r="B717" t="s">
        <v>104</v>
      </c>
      <c r="C717">
        <v>0.56999999999999995</v>
      </c>
      <c r="D717" t="s">
        <v>20</v>
      </c>
      <c r="E717" t="str">
        <f>VLOOKUP(D717,mappings!A:B,2,FALSE)</f>
        <v>Hospitality</v>
      </c>
      <c r="F717" t="s">
        <v>128</v>
      </c>
    </row>
    <row r="718" spans="1:6" x14ac:dyDescent="0.25">
      <c r="A718" t="s">
        <v>104</v>
      </c>
      <c r="B718" t="s">
        <v>104</v>
      </c>
      <c r="C718">
        <v>0.56999999999999995</v>
      </c>
      <c r="D718" t="s">
        <v>15</v>
      </c>
      <c r="E718" t="str">
        <f>VLOOKUP(D718,mappings!A:B,2,FALSE)</f>
        <v>Trades</v>
      </c>
      <c r="F718" t="s">
        <v>128</v>
      </c>
    </row>
    <row r="719" spans="1:6" x14ac:dyDescent="0.25">
      <c r="A719" t="s">
        <v>104</v>
      </c>
      <c r="B719" t="s">
        <v>104</v>
      </c>
      <c r="C719">
        <v>0.56999999999999995</v>
      </c>
      <c r="D719" t="s">
        <v>58</v>
      </c>
      <c r="E719" t="str">
        <f>VLOOKUP(D719,mappings!A:B,2,FALSE)</f>
        <v>Education</v>
      </c>
      <c r="F719" t="s">
        <v>128</v>
      </c>
    </row>
    <row r="720" spans="1:6" x14ac:dyDescent="0.25">
      <c r="A720" t="s">
        <v>104</v>
      </c>
      <c r="B720" t="s">
        <v>104</v>
      </c>
      <c r="C720">
        <v>0.56999999999999995</v>
      </c>
      <c r="D720" t="s">
        <v>8</v>
      </c>
      <c r="E720" t="str">
        <f>VLOOKUP(D720,mappings!A:B,2,FALSE)</f>
        <v>Healthcare</v>
      </c>
      <c r="F720" t="s">
        <v>128</v>
      </c>
    </row>
    <row r="721" spans="1:6" x14ac:dyDescent="0.25">
      <c r="A721" t="s">
        <v>104</v>
      </c>
      <c r="B721" t="s">
        <v>104</v>
      </c>
      <c r="C721">
        <v>0.56999999999999995</v>
      </c>
      <c r="D721" t="s">
        <v>25</v>
      </c>
      <c r="E721" t="str">
        <f>VLOOKUP(D721,mappings!A:B,2,FALSE)</f>
        <v>Creative</v>
      </c>
      <c r="F721" t="s">
        <v>128</v>
      </c>
    </row>
    <row r="722" spans="1:6" x14ac:dyDescent="0.25">
      <c r="A722" t="s">
        <v>104</v>
      </c>
      <c r="B722" t="s">
        <v>104</v>
      </c>
      <c r="C722">
        <v>0.56999999999999995</v>
      </c>
      <c r="D722" t="s">
        <v>42</v>
      </c>
      <c r="E722" t="str">
        <f>VLOOKUP(D722,mappings!A:B,2,FALSE)</f>
        <v>Healthcare</v>
      </c>
      <c r="F722" t="s">
        <v>128</v>
      </c>
    </row>
    <row r="723" spans="1:6" x14ac:dyDescent="0.25">
      <c r="A723" t="s">
        <v>104</v>
      </c>
      <c r="B723" t="s">
        <v>104</v>
      </c>
      <c r="C723">
        <v>0.56000000000000005</v>
      </c>
      <c r="D723" t="s">
        <v>27</v>
      </c>
      <c r="E723" t="str">
        <f>VLOOKUP(D723,mappings!A:B,2,FALSE)</f>
        <v>Management</v>
      </c>
      <c r="F723" t="s">
        <v>128</v>
      </c>
    </row>
    <row r="724" spans="1:6" x14ac:dyDescent="0.25">
      <c r="A724" t="s">
        <v>104</v>
      </c>
      <c r="B724" t="s">
        <v>104</v>
      </c>
      <c r="C724">
        <v>0.56000000000000005</v>
      </c>
      <c r="D724" t="s">
        <v>23</v>
      </c>
      <c r="E724" t="str">
        <f>VLOOKUP(D724,mappings!A:B,2,FALSE)</f>
        <v>Creative</v>
      </c>
      <c r="F724" t="s">
        <v>128</v>
      </c>
    </row>
    <row r="725" spans="1:6" x14ac:dyDescent="0.25">
      <c r="A725" t="s">
        <v>104</v>
      </c>
      <c r="B725" t="s">
        <v>104</v>
      </c>
      <c r="C725">
        <v>0.56000000000000005</v>
      </c>
      <c r="D725" t="s">
        <v>32</v>
      </c>
      <c r="E725" t="str">
        <f>VLOOKUP(D725,mappings!A:B,2,FALSE)</f>
        <v>Human Resources</v>
      </c>
      <c r="F725" t="s">
        <v>128</v>
      </c>
    </row>
    <row r="726" spans="1:6" x14ac:dyDescent="0.25">
      <c r="A726" t="s">
        <v>104</v>
      </c>
      <c r="B726" t="s">
        <v>104</v>
      </c>
      <c r="C726">
        <v>0.56000000000000005</v>
      </c>
      <c r="D726" t="s">
        <v>68</v>
      </c>
      <c r="E726" t="str">
        <f>VLOOKUP(D726,mappings!A:B,2,FALSE)</f>
        <v>STEM</v>
      </c>
      <c r="F726" t="s">
        <v>128</v>
      </c>
    </row>
    <row r="727" spans="1:6" x14ac:dyDescent="0.25">
      <c r="A727" t="s">
        <v>104</v>
      </c>
      <c r="B727" t="s">
        <v>104</v>
      </c>
      <c r="C727">
        <v>0.56000000000000005</v>
      </c>
      <c r="D727" t="s">
        <v>46</v>
      </c>
      <c r="E727" t="str">
        <f>VLOOKUP(D727,mappings!A:B,2,FALSE)</f>
        <v>STEM</v>
      </c>
      <c r="F727" t="s">
        <v>128</v>
      </c>
    </row>
    <row r="728" spans="1:6" x14ac:dyDescent="0.25">
      <c r="A728" t="s">
        <v>104</v>
      </c>
      <c r="B728" t="s">
        <v>104</v>
      </c>
      <c r="C728">
        <v>0.56000000000000005</v>
      </c>
      <c r="D728" t="s">
        <v>52</v>
      </c>
      <c r="E728" t="str">
        <f>VLOOKUP(D728,mappings!A:B,2,FALSE)</f>
        <v>Operations</v>
      </c>
      <c r="F728" t="s">
        <v>128</v>
      </c>
    </row>
    <row r="729" spans="1:6" x14ac:dyDescent="0.25">
      <c r="A729" t="s">
        <v>104</v>
      </c>
      <c r="B729" t="s">
        <v>104</v>
      </c>
      <c r="C729">
        <v>0.56000000000000005</v>
      </c>
      <c r="D729" t="s">
        <v>49</v>
      </c>
      <c r="E729" t="str">
        <f>VLOOKUP(D729,mappings!A:B,2,FALSE)</f>
        <v>Healthcare</v>
      </c>
      <c r="F729" t="s">
        <v>128</v>
      </c>
    </row>
    <row r="730" spans="1:6" x14ac:dyDescent="0.25">
      <c r="A730" t="s">
        <v>104</v>
      </c>
      <c r="B730" t="s">
        <v>104</v>
      </c>
      <c r="C730">
        <v>0.56000000000000005</v>
      </c>
      <c r="D730" t="s">
        <v>31</v>
      </c>
      <c r="E730" t="str">
        <f>VLOOKUP(D730,mappings!A:B,2,FALSE)</f>
        <v>STEM</v>
      </c>
      <c r="F730" t="s">
        <v>128</v>
      </c>
    </row>
    <row r="731" spans="1:6" x14ac:dyDescent="0.25">
      <c r="A731" t="s">
        <v>104</v>
      </c>
      <c r="B731" t="s">
        <v>104</v>
      </c>
      <c r="C731">
        <v>0.56000000000000005</v>
      </c>
      <c r="D731" t="s">
        <v>63</v>
      </c>
      <c r="E731" t="str">
        <f>VLOOKUP(D731,mappings!A:B,2,FALSE)</f>
        <v>Finance</v>
      </c>
      <c r="F731" t="s">
        <v>128</v>
      </c>
    </row>
    <row r="732" spans="1:6" x14ac:dyDescent="0.25">
      <c r="A732" t="s">
        <v>104</v>
      </c>
      <c r="B732" t="s">
        <v>104</v>
      </c>
      <c r="C732">
        <v>0.56000000000000005</v>
      </c>
      <c r="D732" t="s">
        <v>41</v>
      </c>
      <c r="E732" t="str">
        <f>VLOOKUP(D732,mappings!A:B,2,FALSE)</f>
        <v>Healthcare</v>
      </c>
      <c r="F732" t="s">
        <v>128</v>
      </c>
    </row>
    <row r="733" spans="1:6" x14ac:dyDescent="0.25">
      <c r="A733" t="s">
        <v>104</v>
      </c>
      <c r="B733" t="s">
        <v>104</v>
      </c>
      <c r="C733">
        <v>0.56000000000000005</v>
      </c>
      <c r="D733" t="s">
        <v>26</v>
      </c>
      <c r="E733" t="str">
        <f>VLOOKUP(D733,mappings!A:B,2,FALSE)</f>
        <v>Healthcare</v>
      </c>
      <c r="F733" t="s">
        <v>128</v>
      </c>
    </row>
    <row r="734" spans="1:6" x14ac:dyDescent="0.25">
      <c r="A734" t="s">
        <v>104</v>
      </c>
      <c r="B734" t="s">
        <v>104</v>
      </c>
      <c r="C734">
        <v>0.56000000000000005</v>
      </c>
      <c r="D734" t="s">
        <v>85</v>
      </c>
      <c r="E734" t="str">
        <f>VLOOKUP(D734,mappings!A:B,2,FALSE)</f>
        <v>STEM</v>
      </c>
      <c r="F734" t="s">
        <v>128</v>
      </c>
    </row>
    <row r="735" spans="1:6" x14ac:dyDescent="0.25">
      <c r="A735" t="s">
        <v>104</v>
      </c>
      <c r="B735" t="s">
        <v>104</v>
      </c>
      <c r="C735">
        <v>0.56000000000000005</v>
      </c>
      <c r="D735" t="s">
        <v>45</v>
      </c>
      <c r="E735" t="str">
        <f>VLOOKUP(D735,mappings!A:B,2,FALSE)</f>
        <v>Administration</v>
      </c>
      <c r="F735" t="s">
        <v>128</v>
      </c>
    </row>
    <row r="736" spans="1:6" x14ac:dyDescent="0.25">
      <c r="A736" t="s">
        <v>104</v>
      </c>
      <c r="B736" t="s">
        <v>104</v>
      </c>
      <c r="C736">
        <v>0.56000000000000005</v>
      </c>
      <c r="D736" t="s">
        <v>33</v>
      </c>
      <c r="E736" t="str">
        <f>VLOOKUP(D736,mappings!A:B,2,FALSE)</f>
        <v>Education</v>
      </c>
      <c r="F736" t="s">
        <v>128</v>
      </c>
    </row>
    <row r="737" spans="1:6" x14ac:dyDescent="0.25">
      <c r="A737" t="s">
        <v>104</v>
      </c>
      <c r="B737" t="s">
        <v>104</v>
      </c>
      <c r="C737">
        <v>0.56000000000000005</v>
      </c>
      <c r="D737" t="s">
        <v>75</v>
      </c>
      <c r="E737" t="str">
        <f>VLOOKUP(D737,mappings!A:B,2,FALSE)</f>
        <v>STEM</v>
      </c>
      <c r="F737" t="s">
        <v>128</v>
      </c>
    </row>
    <row r="738" spans="1:6" x14ac:dyDescent="0.25">
      <c r="A738" t="s">
        <v>104</v>
      </c>
      <c r="B738" t="s">
        <v>104</v>
      </c>
      <c r="C738">
        <v>0.55000000000000004</v>
      </c>
      <c r="D738" t="s">
        <v>30</v>
      </c>
      <c r="E738" t="str">
        <f>VLOOKUP(D738,mappings!A:B,2,FALSE)</f>
        <v>STEM</v>
      </c>
      <c r="F738" t="s">
        <v>128</v>
      </c>
    </row>
    <row r="739" spans="1:6" x14ac:dyDescent="0.25">
      <c r="A739" t="s">
        <v>104</v>
      </c>
      <c r="B739" t="s">
        <v>104</v>
      </c>
      <c r="C739">
        <v>0.55000000000000004</v>
      </c>
      <c r="D739" t="s">
        <v>43</v>
      </c>
      <c r="E739" t="str">
        <f>VLOOKUP(D739,mappings!A:B,2,FALSE)</f>
        <v>Management</v>
      </c>
      <c r="F739" t="s">
        <v>128</v>
      </c>
    </row>
    <row r="740" spans="1:6" x14ac:dyDescent="0.25">
      <c r="A740" t="s">
        <v>104</v>
      </c>
      <c r="B740" t="s">
        <v>104</v>
      </c>
      <c r="C740">
        <v>0.55000000000000004</v>
      </c>
      <c r="D740" t="s">
        <v>76</v>
      </c>
      <c r="E740" t="str">
        <f>VLOOKUP(D740,mappings!A:B,2,FALSE)</f>
        <v>Real Estate</v>
      </c>
      <c r="F740" t="s">
        <v>128</v>
      </c>
    </row>
    <row r="741" spans="1:6" x14ac:dyDescent="0.25">
      <c r="A741" t="s">
        <v>104</v>
      </c>
      <c r="B741" t="s">
        <v>104</v>
      </c>
      <c r="C741">
        <v>0.55000000000000004</v>
      </c>
      <c r="D741" t="s">
        <v>36</v>
      </c>
      <c r="E741" t="str">
        <f>VLOOKUP(D741,mappings!A:B,2,FALSE)</f>
        <v>Healthcare</v>
      </c>
      <c r="F741" t="s">
        <v>128</v>
      </c>
    </row>
    <row r="742" spans="1:6" x14ac:dyDescent="0.25">
      <c r="A742" t="s">
        <v>104</v>
      </c>
      <c r="B742" t="s">
        <v>104</v>
      </c>
      <c r="C742">
        <v>0.55000000000000004</v>
      </c>
      <c r="D742" t="s">
        <v>37</v>
      </c>
      <c r="E742" t="str">
        <f>VLOOKUP(D742,mappings!A:B,2,FALSE)</f>
        <v>Marketing</v>
      </c>
      <c r="F742" t="s">
        <v>128</v>
      </c>
    </row>
    <row r="743" spans="1:6" x14ac:dyDescent="0.25">
      <c r="A743" t="s">
        <v>104</v>
      </c>
      <c r="B743" t="s">
        <v>104</v>
      </c>
      <c r="C743">
        <v>0.55000000000000004</v>
      </c>
      <c r="D743" t="s">
        <v>12</v>
      </c>
      <c r="E743" t="str">
        <f>VLOOKUP(D743,mappings!A:B,2,FALSE)</f>
        <v>STEM</v>
      </c>
      <c r="F743" t="s">
        <v>128</v>
      </c>
    </row>
    <row r="744" spans="1:6" x14ac:dyDescent="0.25">
      <c r="A744" t="s">
        <v>104</v>
      </c>
      <c r="B744" t="s">
        <v>104</v>
      </c>
      <c r="C744">
        <v>0.55000000000000004</v>
      </c>
      <c r="D744" t="s">
        <v>72</v>
      </c>
      <c r="E744" t="str">
        <f>VLOOKUP(D744,mappings!A:B,2,FALSE)</f>
        <v>STEM</v>
      </c>
      <c r="F744" t="s">
        <v>128</v>
      </c>
    </row>
    <row r="745" spans="1:6" x14ac:dyDescent="0.25">
      <c r="A745" t="s">
        <v>104</v>
      </c>
      <c r="B745" t="s">
        <v>104</v>
      </c>
      <c r="C745">
        <v>0.55000000000000004</v>
      </c>
      <c r="D745" t="s">
        <v>56</v>
      </c>
      <c r="E745" t="str">
        <f>VLOOKUP(D745,mappings!A:B,2,FALSE)</f>
        <v>STEM</v>
      </c>
      <c r="F745" t="s">
        <v>128</v>
      </c>
    </row>
    <row r="746" spans="1:6" x14ac:dyDescent="0.25">
      <c r="A746" t="s">
        <v>104</v>
      </c>
      <c r="B746" t="s">
        <v>104</v>
      </c>
      <c r="C746">
        <v>0.55000000000000004</v>
      </c>
      <c r="D746" t="s">
        <v>18</v>
      </c>
      <c r="E746" t="str">
        <f>VLOOKUP(D746,mappings!A:B,2,FALSE)</f>
        <v>Finance</v>
      </c>
      <c r="F746" t="s">
        <v>128</v>
      </c>
    </row>
    <row r="747" spans="1:6" x14ac:dyDescent="0.25">
      <c r="A747" t="s">
        <v>104</v>
      </c>
      <c r="B747" t="s">
        <v>104</v>
      </c>
      <c r="C747">
        <v>0.55000000000000004</v>
      </c>
      <c r="D747" t="s">
        <v>69</v>
      </c>
      <c r="E747" t="str">
        <f>VLOOKUP(D747,mappings!A:B,2,FALSE)</f>
        <v>Hospitality</v>
      </c>
      <c r="F747" t="s">
        <v>128</v>
      </c>
    </row>
    <row r="748" spans="1:6" x14ac:dyDescent="0.25">
      <c r="A748" t="s">
        <v>104</v>
      </c>
      <c r="B748" t="s">
        <v>104</v>
      </c>
      <c r="C748">
        <v>0.55000000000000004</v>
      </c>
      <c r="D748" t="s">
        <v>14</v>
      </c>
      <c r="E748" t="str">
        <f>VLOOKUP(D748,mappings!A:B,2,FALSE)</f>
        <v>Creative</v>
      </c>
      <c r="F748" t="s">
        <v>128</v>
      </c>
    </row>
    <row r="749" spans="1:6" x14ac:dyDescent="0.25">
      <c r="A749" t="s">
        <v>104</v>
      </c>
      <c r="B749" t="s">
        <v>104</v>
      </c>
      <c r="C749">
        <v>0.55000000000000004</v>
      </c>
      <c r="D749" t="s">
        <v>82</v>
      </c>
      <c r="E749" t="str">
        <f>VLOOKUP(D749,mappings!A:B,2,FALSE)</f>
        <v>STEM</v>
      </c>
      <c r="F749" t="s">
        <v>128</v>
      </c>
    </row>
    <row r="750" spans="1:6" x14ac:dyDescent="0.25">
      <c r="A750" t="s">
        <v>104</v>
      </c>
      <c r="B750" t="s">
        <v>104</v>
      </c>
      <c r="C750">
        <v>0.55000000000000004</v>
      </c>
      <c r="D750" t="s">
        <v>34</v>
      </c>
      <c r="E750" t="str">
        <f>VLOOKUP(D750,mappings!A:B,2,FALSE)</f>
        <v>STEM</v>
      </c>
      <c r="F750" t="s">
        <v>128</v>
      </c>
    </row>
    <row r="751" spans="1:6" x14ac:dyDescent="0.25">
      <c r="A751" t="s">
        <v>104</v>
      </c>
      <c r="B751" t="s">
        <v>104</v>
      </c>
      <c r="C751">
        <v>0.55000000000000004</v>
      </c>
      <c r="D751" t="s">
        <v>78</v>
      </c>
      <c r="E751" t="str">
        <f>VLOOKUP(D751,mappings!A:B,2,FALSE)</f>
        <v>Hospitality</v>
      </c>
      <c r="F751" t="s">
        <v>128</v>
      </c>
    </row>
    <row r="752" spans="1:6" x14ac:dyDescent="0.25">
      <c r="A752" t="s">
        <v>104</v>
      </c>
      <c r="B752" t="s">
        <v>104</v>
      </c>
      <c r="C752">
        <v>0.55000000000000004</v>
      </c>
      <c r="D752" t="s">
        <v>88</v>
      </c>
      <c r="E752" t="str">
        <f>VLOOKUP(D752,mappings!A:B,2,FALSE)</f>
        <v>Healthcare</v>
      </c>
      <c r="F752" t="s">
        <v>128</v>
      </c>
    </row>
    <row r="753" spans="1:6" x14ac:dyDescent="0.25">
      <c r="A753" t="s">
        <v>104</v>
      </c>
      <c r="B753" t="s">
        <v>104</v>
      </c>
      <c r="C753">
        <v>0.55000000000000004</v>
      </c>
      <c r="D753" t="s">
        <v>19</v>
      </c>
      <c r="E753" t="str">
        <f>VLOOKUP(D753,mappings!A:B,2,FALSE)</f>
        <v>Finance</v>
      </c>
      <c r="F753" t="s">
        <v>128</v>
      </c>
    </row>
    <row r="754" spans="1:6" x14ac:dyDescent="0.25">
      <c r="A754" t="s">
        <v>104</v>
      </c>
      <c r="B754" t="s">
        <v>104</v>
      </c>
      <c r="C754">
        <v>0.54</v>
      </c>
      <c r="D754" t="s">
        <v>60</v>
      </c>
      <c r="E754" t="str">
        <f>VLOOKUP(D754,mappings!A:B,2,FALSE)</f>
        <v>Finance</v>
      </c>
      <c r="F754" t="s">
        <v>128</v>
      </c>
    </row>
    <row r="755" spans="1:6" x14ac:dyDescent="0.25">
      <c r="A755" t="s">
        <v>104</v>
      </c>
      <c r="B755" t="s">
        <v>104</v>
      </c>
      <c r="C755">
        <v>0.54</v>
      </c>
      <c r="D755" t="s">
        <v>90</v>
      </c>
      <c r="E755" t="str">
        <f>VLOOKUP(D755,mappings!A:B,2,FALSE)</f>
        <v>Marketing</v>
      </c>
      <c r="F755" t="s">
        <v>128</v>
      </c>
    </row>
    <row r="756" spans="1:6" x14ac:dyDescent="0.25">
      <c r="A756" t="s">
        <v>104</v>
      </c>
      <c r="B756" t="s">
        <v>104</v>
      </c>
      <c r="C756">
        <v>0.54</v>
      </c>
      <c r="D756" t="s">
        <v>93</v>
      </c>
      <c r="E756" t="str">
        <f>VLOOKUP(D756,mappings!A:B,2,FALSE)</f>
        <v>Legal</v>
      </c>
      <c r="F756" t="s">
        <v>128</v>
      </c>
    </row>
    <row r="757" spans="1:6" x14ac:dyDescent="0.25">
      <c r="A757" t="s">
        <v>104</v>
      </c>
      <c r="B757" t="s">
        <v>104</v>
      </c>
      <c r="C757">
        <v>0.54</v>
      </c>
      <c r="D757" t="s">
        <v>44</v>
      </c>
      <c r="E757" t="str">
        <f>VLOOKUP(D757,mappings!A:B,2,FALSE)</f>
        <v>Healthcare</v>
      </c>
      <c r="F757" t="s">
        <v>128</v>
      </c>
    </row>
    <row r="758" spans="1:6" x14ac:dyDescent="0.25">
      <c r="A758" t="s">
        <v>104</v>
      </c>
      <c r="B758" t="s">
        <v>104</v>
      </c>
      <c r="C758">
        <v>0.54</v>
      </c>
      <c r="D758" t="s">
        <v>35</v>
      </c>
      <c r="E758" t="str">
        <f>VLOOKUP(D758,mappings!A:B,2,FALSE)</f>
        <v>Education</v>
      </c>
      <c r="F758" t="s">
        <v>128</v>
      </c>
    </row>
    <row r="759" spans="1:6" x14ac:dyDescent="0.25">
      <c r="A759" t="s">
        <v>104</v>
      </c>
      <c r="B759" t="s">
        <v>104</v>
      </c>
      <c r="C759">
        <v>0.54</v>
      </c>
      <c r="D759" t="s">
        <v>28</v>
      </c>
      <c r="E759" t="str">
        <f>VLOOKUP(D759,mappings!A:B,2,FALSE)</f>
        <v>STEM</v>
      </c>
      <c r="F759" t="s">
        <v>128</v>
      </c>
    </row>
    <row r="760" spans="1:6" x14ac:dyDescent="0.25">
      <c r="A760" t="s">
        <v>104</v>
      </c>
      <c r="B760" t="s">
        <v>104</v>
      </c>
      <c r="C760">
        <v>0.54</v>
      </c>
      <c r="D760" t="s">
        <v>16</v>
      </c>
      <c r="E760" t="str">
        <f>VLOOKUP(D760,mappings!A:B,2,FALSE)</f>
        <v>Finance</v>
      </c>
      <c r="F760" t="s">
        <v>128</v>
      </c>
    </row>
    <row r="761" spans="1:6" x14ac:dyDescent="0.25">
      <c r="A761" t="s">
        <v>104</v>
      </c>
      <c r="B761" t="s">
        <v>104</v>
      </c>
      <c r="C761">
        <v>0.54</v>
      </c>
      <c r="D761" t="s">
        <v>51</v>
      </c>
      <c r="E761" t="str">
        <f>VLOOKUP(D761,mappings!A:B,2,FALSE)</f>
        <v>Healthcare</v>
      </c>
      <c r="F761" t="s">
        <v>128</v>
      </c>
    </row>
    <row r="762" spans="1:6" x14ac:dyDescent="0.25">
      <c r="A762" t="s">
        <v>104</v>
      </c>
      <c r="B762" t="s">
        <v>104</v>
      </c>
      <c r="C762">
        <v>0.54</v>
      </c>
      <c r="D762" t="s">
        <v>80</v>
      </c>
      <c r="E762" t="str">
        <f>VLOOKUP(D762,mappings!A:B,2,FALSE)</f>
        <v>Hospitality</v>
      </c>
      <c r="F762" t="s">
        <v>128</v>
      </c>
    </row>
    <row r="763" spans="1:6" x14ac:dyDescent="0.25">
      <c r="A763" t="s">
        <v>104</v>
      </c>
      <c r="B763" t="s">
        <v>104</v>
      </c>
      <c r="C763">
        <v>0.54</v>
      </c>
      <c r="D763" t="s">
        <v>9</v>
      </c>
      <c r="E763" t="str">
        <f>VLOOKUP(D763,mappings!A:B,2,FALSE)</f>
        <v>Education</v>
      </c>
      <c r="F763" t="s">
        <v>128</v>
      </c>
    </row>
    <row r="764" spans="1:6" x14ac:dyDescent="0.25">
      <c r="A764" t="s">
        <v>104</v>
      </c>
      <c r="B764" t="s">
        <v>104</v>
      </c>
      <c r="C764">
        <v>0.54</v>
      </c>
      <c r="D764" t="s">
        <v>48</v>
      </c>
      <c r="E764" t="str">
        <f>VLOOKUP(D764,mappings!A:B,2,FALSE)</f>
        <v>STEM</v>
      </c>
      <c r="F764" t="s">
        <v>128</v>
      </c>
    </row>
    <row r="765" spans="1:6" x14ac:dyDescent="0.25">
      <c r="A765" t="s">
        <v>104</v>
      </c>
      <c r="B765" t="s">
        <v>104</v>
      </c>
      <c r="C765">
        <v>0.54</v>
      </c>
      <c r="D765" t="s">
        <v>59</v>
      </c>
      <c r="E765" t="str">
        <f>VLOOKUP(D765,mappings!A:B,2,FALSE)</f>
        <v>Real Estate</v>
      </c>
      <c r="F765" t="s">
        <v>128</v>
      </c>
    </row>
    <row r="766" spans="1:6" x14ac:dyDescent="0.25">
      <c r="A766" t="s">
        <v>104</v>
      </c>
      <c r="B766" t="s">
        <v>104</v>
      </c>
      <c r="C766">
        <v>0.54</v>
      </c>
      <c r="D766" t="s">
        <v>100</v>
      </c>
      <c r="E766" t="str">
        <f>VLOOKUP(D766,mappings!A:B,2,FALSE)</f>
        <v>Management</v>
      </c>
      <c r="F766" t="s">
        <v>128</v>
      </c>
    </row>
    <row r="767" spans="1:6" x14ac:dyDescent="0.25">
      <c r="A767" t="s">
        <v>104</v>
      </c>
      <c r="B767" t="s">
        <v>104</v>
      </c>
      <c r="C767">
        <v>0.54</v>
      </c>
      <c r="D767" t="s">
        <v>74</v>
      </c>
      <c r="E767" t="str">
        <f>VLOOKUP(D767,mappings!A:B,2,FALSE)</f>
        <v>Healthcare</v>
      </c>
      <c r="F767" t="s">
        <v>128</v>
      </c>
    </row>
    <row r="768" spans="1:6" x14ac:dyDescent="0.25">
      <c r="A768" t="s">
        <v>104</v>
      </c>
      <c r="B768" t="s">
        <v>104</v>
      </c>
      <c r="C768">
        <v>0.54</v>
      </c>
      <c r="D768" t="s">
        <v>95</v>
      </c>
      <c r="E768" t="str">
        <f>VLOOKUP(D768,mappings!A:B,2,FALSE)</f>
        <v>STEM</v>
      </c>
      <c r="F768" t="s">
        <v>128</v>
      </c>
    </row>
    <row r="769" spans="1:6" x14ac:dyDescent="0.25">
      <c r="A769" t="s">
        <v>104</v>
      </c>
      <c r="B769" t="s">
        <v>104</v>
      </c>
      <c r="C769">
        <v>0.54</v>
      </c>
      <c r="D769" t="s">
        <v>61</v>
      </c>
      <c r="E769" t="str">
        <f>VLOOKUP(D769,mappings!A:B,2,FALSE)</f>
        <v>STEM</v>
      </c>
      <c r="F769" t="s">
        <v>128</v>
      </c>
    </row>
    <row r="770" spans="1:6" x14ac:dyDescent="0.25">
      <c r="A770" t="s">
        <v>104</v>
      </c>
      <c r="B770" t="s">
        <v>104</v>
      </c>
      <c r="C770">
        <v>0.54</v>
      </c>
      <c r="D770" t="s">
        <v>54</v>
      </c>
      <c r="E770" t="str">
        <f>VLOOKUP(D770,mappings!A:B,2,FALSE)</f>
        <v>Marketing</v>
      </c>
      <c r="F770" t="s">
        <v>128</v>
      </c>
    </row>
    <row r="771" spans="1:6" x14ac:dyDescent="0.25">
      <c r="A771" t="s">
        <v>104</v>
      </c>
      <c r="B771" t="s">
        <v>104</v>
      </c>
      <c r="C771">
        <v>0.54</v>
      </c>
      <c r="D771" t="s">
        <v>22</v>
      </c>
      <c r="E771" t="str">
        <f>VLOOKUP(D771,mappings!A:B,2,FALSE)</f>
        <v>Management</v>
      </c>
      <c r="F771" t="s">
        <v>128</v>
      </c>
    </row>
    <row r="772" spans="1:6" x14ac:dyDescent="0.25">
      <c r="A772" t="s">
        <v>104</v>
      </c>
      <c r="B772" t="s">
        <v>104</v>
      </c>
      <c r="C772">
        <v>0.54</v>
      </c>
      <c r="D772" t="s">
        <v>66</v>
      </c>
      <c r="E772" t="str">
        <f>VLOOKUP(D772,mappings!A:B,2,FALSE)</f>
        <v>Healthcare</v>
      </c>
      <c r="F772" t="s">
        <v>128</v>
      </c>
    </row>
    <row r="773" spans="1:6" x14ac:dyDescent="0.25">
      <c r="A773" t="s">
        <v>104</v>
      </c>
      <c r="B773" t="s">
        <v>104</v>
      </c>
      <c r="C773">
        <v>0.54</v>
      </c>
      <c r="D773" t="s">
        <v>79</v>
      </c>
      <c r="E773" t="str">
        <f>VLOOKUP(D773,mappings!A:B,2,FALSE)</f>
        <v>Marketing</v>
      </c>
      <c r="F773" t="s">
        <v>128</v>
      </c>
    </row>
    <row r="774" spans="1:6" x14ac:dyDescent="0.25">
      <c r="A774" t="s">
        <v>104</v>
      </c>
      <c r="B774" t="s">
        <v>104</v>
      </c>
      <c r="C774">
        <v>0.54</v>
      </c>
      <c r="D774" t="s">
        <v>39</v>
      </c>
      <c r="E774" t="str">
        <f>VLOOKUP(D774,mappings!A:B,2,FALSE)</f>
        <v>Administration</v>
      </c>
      <c r="F774" t="s">
        <v>128</v>
      </c>
    </row>
    <row r="775" spans="1:6" x14ac:dyDescent="0.25">
      <c r="A775" t="s">
        <v>104</v>
      </c>
      <c r="B775" t="s">
        <v>104</v>
      </c>
      <c r="C775">
        <v>0.53</v>
      </c>
      <c r="D775" t="s">
        <v>29</v>
      </c>
      <c r="E775" t="str">
        <f>VLOOKUP(D775,mappings!A:B,2,FALSE)</f>
        <v>Creative</v>
      </c>
      <c r="F775" t="s">
        <v>128</v>
      </c>
    </row>
    <row r="776" spans="1:6" x14ac:dyDescent="0.25">
      <c r="A776" t="s">
        <v>104</v>
      </c>
      <c r="B776" t="s">
        <v>104</v>
      </c>
      <c r="C776">
        <v>0.53</v>
      </c>
      <c r="D776" t="s">
        <v>96</v>
      </c>
      <c r="E776" t="str">
        <f>VLOOKUP(D776,mappings!A:B,2,FALSE)</f>
        <v>Sales</v>
      </c>
      <c r="F776" t="s">
        <v>128</v>
      </c>
    </row>
    <row r="777" spans="1:6" x14ac:dyDescent="0.25">
      <c r="A777" t="s">
        <v>104</v>
      </c>
      <c r="B777" t="s">
        <v>104</v>
      </c>
      <c r="C777">
        <v>0.53</v>
      </c>
      <c r="D777" t="s">
        <v>62</v>
      </c>
      <c r="E777" t="str">
        <f>VLOOKUP(D777,mappings!A:B,2,FALSE)</f>
        <v>Marketing</v>
      </c>
      <c r="F777" t="s">
        <v>128</v>
      </c>
    </row>
    <row r="778" spans="1:6" x14ac:dyDescent="0.25">
      <c r="A778" t="s">
        <v>104</v>
      </c>
      <c r="B778" t="s">
        <v>104</v>
      </c>
      <c r="C778">
        <v>0.53</v>
      </c>
      <c r="D778" t="s">
        <v>65</v>
      </c>
      <c r="E778" t="str">
        <f>VLOOKUP(D778,mappings!A:B,2,FALSE)</f>
        <v>Management</v>
      </c>
      <c r="F778" t="s">
        <v>128</v>
      </c>
    </row>
    <row r="779" spans="1:6" x14ac:dyDescent="0.25">
      <c r="A779" t="s">
        <v>104</v>
      </c>
      <c r="B779" t="s">
        <v>104</v>
      </c>
      <c r="C779">
        <v>0.53</v>
      </c>
      <c r="D779" t="s">
        <v>94</v>
      </c>
      <c r="E779" t="str">
        <f>VLOOKUP(D779,mappings!A:B,2,FALSE)</f>
        <v>Management</v>
      </c>
      <c r="F779" t="s">
        <v>128</v>
      </c>
    </row>
    <row r="780" spans="1:6" x14ac:dyDescent="0.25">
      <c r="A780" t="s">
        <v>104</v>
      </c>
      <c r="B780" t="s">
        <v>104</v>
      </c>
      <c r="C780">
        <v>0.53</v>
      </c>
      <c r="D780" t="s">
        <v>11</v>
      </c>
      <c r="E780" t="str">
        <f>VLOOKUP(D780,mappings!A:B,2,FALSE)</f>
        <v>Human Resources</v>
      </c>
      <c r="F780" t="s">
        <v>128</v>
      </c>
    </row>
    <row r="781" spans="1:6" x14ac:dyDescent="0.25">
      <c r="A781" t="s">
        <v>104</v>
      </c>
      <c r="B781" t="s">
        <v>104</v>
      </c>
      <c r="C781">
        <v>0.53</v>
      </c>
      <c r="D781" t="s">
        <v>77</v>
      </c>
      <c r="E781" t="str">
        <f>VLOOKUP(D781,mappings!A:B,2,FALSE)</f>
        <v>Legal</v>
      </c>
      <c r="F781" t="s">
        <v>128</v>
      </c>
    </row>
    <row r="782" spans="1:6" x14ac:dyDescent="0.25">
      <c r="A782" t="s">
        <v>104</v>
      </c>
      <c r="B782" t="s">
        <v>104</v>
      </c>
      <c r="C782">
        <v>0.53</v>
      </c>
      <c r="D782" t="s">
        <v>67</v>
      </c>
      <c r="E782" t="str">
        <f>VLOOKUP(D782,mappings!A:B,2,FALSE)</f>
        <v>Finance</v>
      </c>
      <c r="F782" t="s">
        <v>128</v>
      </c>
    </row>
    <row r="783" spans="1:6" x14ac:dyDescent="0.25">
      <c r="A783" t="s">
        <v>104</v>
      </c>
      <c r="B783" t="s">
        <v>104</v>
      </c>
      <c r="C783">
        <v>0.53</v>
      </c>
      <c r="D783" t="s">
        <v>86</v>
      </c>
      <c r="E783" t="str">
        <f>VLOOKUP(D783,mappings!A:B,2,FALSE)</f>
        <v>Finance</v>
      </c>
      <c r="F783" t="s">
        <v>128</v>
      </c>
    </row>
    <row r="784" spans="1:6" x14ac:dyDescent="0.25">
      <c r="A784" t="s">
        <v>104</v>
      </c>
      <c r="B784" t="s">
        <v>104</v>
      </c>
      <c r="C784">
        <v>0.53</v>
      </c>
      <c r="D784" t="s">
        <v>13</v>
      </c>
      <c r="E784" t="str">
        <f>VLOOKUP(D784,mappings!A:B,2,FALSE)</f>
        <v>Administration</v>
      </c>
      <c r="F784" t="s">
        <v>128</v>
      </c>
    </row>
    <row r="785" spans="1:6" x14ac:dyDescent="0.25">
      <c r="A785" t="s">
        <v>104</v>
      </c>
      <c r="B785" t="s">
        <v>104</v>
      </c>
      <c r="C785">
        <v>0.53</v>
      </c>
      <c r="D785" t="s">
        <v>84</v>
      </c>
      <c r="E785" t="str">
        <f>VLOOKUP(D785,mappings!A:B,2,FALSE)</f>
        <v>Hospitality</v>
      </c>
      <c r="F785" t="s">
        <v>128</v>
      </c>
    </row>
    <row r="786" spans="1:6" x14ac:dyDescent="0.25">
      <c r="A786" t="s">
        <v>104</v>
      </c>
      <c r="B786" t="s">
        <v>104</v>
      </c>
      <c r="C786">
        <v>0.53</v>
      </c>
      <c r="D786" t="s">
        <v>73</v>
      </c>
      <c r="E786" t="str">
        <f>VLOOKUP(D786,mappings!A:B,2,FALSE)</f>
        <v>Finance</v>
      </c>
      <c r="F786" t="s">
        <v>128</v>
      </c>
    </row>
    <row r="787" spans="1:6" x14ac:dyDescent="0.25">
      <c r="A787" t="s">
        <v>104</v>
      </c>
      <c r="B787" t="s">
        <v>104</v>
      </c>
      <c r="C787">
        <v>0.53</v>
      </c>
      <c r="D787" t="s">
        <v>71</v>
      </c>
      <c r="E787" t="str">
        <f>VLOOKUP(D787,mappings!A:B,2,FALSE)</f>
        <v>STEM</v>
      </c>
      <c r="F787" t="s">
        <v>128</v>
      </c>
    </row>
    <row r="788" spans="1:6" x14ac:dyDescent="0.25">
      <c r="A788" t="s">
        <v>104</v>
      </c>
      <c r="B788" t="s">
        <v>104</v>
      </c>
      <c r="C788">
        <v>0.53</v>
      </c>
      <c r="D788" t="s">
        <v>103</v>
      </c>
      <c r="E788" t="str">
        <f>VLOOKUP(D788,mappings!A:B,2,FALSE)</f>
        <v>Healthcare</v>
      </c>
      <c r="F788" t="s">
        <v>128</v>
      </c>
    </row>
    <row r="789" spans="1:6" x14ac:dyDescent="0.25">
      <c r="A789" t="s">
        <v>104</v>
      </c>
      <c r="B789" t="s">
        <v>104</v>
      </c>
      <c r="C789">
        <v>0.53</v>
      </c>
      <c r="D789" t="s">
        <v>99</v>
      </c>
      <c r="E789" t="str">
        <f>VLOOKUP(D789,mappings!A:B,2,FALSE)</f>
        <v>Operations</v>
      </c>
      <c r="F789" t="s">
        <v>128</v>
      </c>
    </row>
    <row r="790" spans="1:6" x14ac:dyDescent="0.25">
      <c r="A790" t="s">
        <v>104</v>
      </c>
      <c r="B790" t="s">
        <v>104</v>
      </c>
      <c r="C790">
        <v>0.53</v>
      </c>
      <c r="D790" t="s">
        <v>101</v>
      </c>
      <c r="E790" t="str">
        <f>VLOOKUP(D790,mappings!A:B,2,FALSE)</f>
        <v>Healthcare</v>
      </c>
      <c r="F790" t="s">
        <v>128</v>
      </c>
    </row>
    <row r="791" spans="1:6" x14ac:dyDescent="0.25">
      <c r="A791" t="s">
        <v>104</v>
      </c>
      <c r="B791" t="s">
        <v>104</v>
      </c>
      <c r="C791">
        <v>0.52</v>
      </c>
      <c r="D791" t="s">
        <v>53</v>
      </c>
      <c r="E791" t="str">
        <f>VLOOKUP(D791,mappings!A:B,2,FALSE)</f>
        <v>Healthcare</v>
      </c>
      <c r="F791" t="s">
        <v>128</v>
      </c>
    </row>
    <row r="792" spans="1:6" x14ac:dyDescent="0.25">
      <c r="A792" t="s">
        <v>104</v>
      </c>
      <c r="B792" t="s">
        <v>104</v>
      </c>
      <c r="C792">
        <v>0.52</v>
      </c>
      <c r="D792" t="s">
        <v>64</v>
      </c>
      <c r="E792" t="str">
        <f>VLOOKUP(D792,mappings!A:B,2,FALSE)</f>
        <v>STEM</v>
      </c>
      <c r="F792" t="s">
        <v>128</v>
      </c>
    </row>
    <row r="793" spans="1:6" x14ac:dyDescent="0.25">
      <c r="A793" t="s">
        <v>104</v>
      </c>
      <c r="B793" t="s">
        <v>104</v>
      </c>
      <c r="C793">
        <v>0.52</v>
      </c>
      <c r="D793" t="s">
        <v>97</v>
      </c>
      <c r="E793" t="str">
        <f>VLOOKUP(D793,mappings!A:B,2,FALSE)</f>
        <v>STEM</v>
      </c>
      <c r="F793" t="s">
        <v>128</v>
      </c>
    </row>
    <row r="794" spans="1:6" x14ac:dyDescent="0.25">
      <c r="A794" t="s">
        <v>104</v>
      </c>
      <c r="B794" t="s">
        <v>104</v>
      </c>
      <c r="C794">
        <v>0.52</v>
      </c>
      <c r="D794" t="s">
        <v>70</v>
      </c>
      <c r="E794" t="str">
        <f>VLOOKUP(D794,mappings!A:B,2,FALSE)</f>
        <v>Operations</v>
      </c>
      <c r="F794" t="s">
        <v>128</v>
      </c>
    </row>
    <row r="795" spans="1:6" x14ac:dyDescent="0.25">
      <c r="A795" t="s">
        <v>104</v>
      </c>
      <c r="B795" t="s">
        <v>104</v>
      </c>
      <c r="C795">
        <v>0.52</v>
      </c>
      <c r="D795" t="s">
        <v>81</v>
      </c>
      <c r="E795" t="str">
        <f>VLOOKUP(D795,mappings!A:B,2,FALSE)</f>
        <v>Legal</v>
      </c>
      <c r="F795" t="s">
        <v>128</v>
      </c>
    </row>
    <row r="796" spans="1:6" x14ac:dyDescent="0.25">
      <c r="A796" t="s">
        <v>104</v>
      </c>
      <c r="B796" t="s">
        <v>104</v>
      </c>
      <c r="C796">
        <v>0.52</v>
      </c>
      <c r="D796" t="s">
        <v>98</v>
      </c>
      <c r="E796" t="str">
        <f>VLOOKUP(D796,mappings!A:B,2,FALSE)</f>
        <v>STEM</v>
      </c>
      <c r="F796" t="s">
        <v>128</v>
      </c>
    </row>
    <row r="797" spans="1:6" x14ac:dyDescent="0.25">
      <c r="A797" t="s">
        <v>104</v>
      </c>
      <c r="B797" t="s">
        <v>104</v>
      </c>
      <c r="C797">
        <v>0.52</v>
      </c>
      <c r="D797" t="s">
        <v>92</v>
      </c>
      <c r="E797" t="str">
        <f>VLOOKUP(D797,mappings!A:B,2,FALSE)</f>
        <v>Management</v>
      </c>
      <c r="F797" t="s">
        <v>128</v>
      </c>
    </row>
    <row r="798" spans="1:6" x14ac:dyDescent="0.25">
      <c r="A798" t="s">
        <v>104</v>
      </c>
      <c r="B798" t="s">
        <v>104</v>
      </c>
      <c r="C798">
        <v>0.52</v>
      </c>
      <c r="D798" t="s">
        <v>102</v>
      </c>
      <c r="E798" t="str">
        <f>VLOOKUP(D798,mappings!A:B,2,FALSE)</f>
        <v>Operations</v>
      </c>
      <c r="F798" t="s">
        <v>128</v>
      </c>
    </row>
    <row r="799" spans="1:6" x14ac:dyDescent="0.25">
      <c r="A799" t="s">
        <v>104</v>
      </c>
      <c r="B799" t="s">
        <v>104</v>
      </c>
      <c r="C799">
        <v>0.51</v>
      </c>
      <c r="D799" t="s">
        <v>89</v>
      </c>
      <c r="E799" t="str">
        <f>VLOOKUP(D799,mappings!A:B,2,FALSE)</f>
        <v>Finance</v>
      </c>
      <c r="F799" t="s">
        <v>128</v>
      </c>
    </row>
    <row r="800" spans="1:6" x14ac:dyDescent="0.25">
      <c r="A800" t="s">
        <v>104</v>
      </c>
      <c r="B800" t="s">
        <v>104</v>
      </c>
      <c r="C800">
        <v>0.51</v>
      </c>
      <c r="D800" t="s">
        <v>87</v>
      </c>
      <c r="E800" t="str">
        <f>VLOOKUP(D800,mappings!A:B,2,FALSE)</f>
        <v>Trades</v>
      </c>
      <c r="F800" t="s">
        <v>128</v>
      </c>
    </row>
    <row r="801" spans="1:6" x14ac:dyDescent="0.25">
      <c r="A801" t="s">
        <v>104</v>
      </c>
      <c r="B801" t="s">
        <v>104</v>
      </c>
      <c r="C801">
        <v>0.5</v>
      </c>
      <c r="D801" t="s">
        <v>55</v>
      </c>
      <c r="E801" t="str">
        <f>VLOOKUP(D801,mappings!A:B,2,FALSE)</f>
        <v>Human Resources</v>
      </c>
      <c r="F801" t="s">
        <v>128</v>
      </c>
    </row>
    <row r="802" spans="1:6" x14ac:dyDescent="0.25">
      <c r="A802" t="s">
        <v>104</v>
      </c>
      <c r="B802" t="s">
        <v>106</v>
      </c>
      <c r="C802">
        <v>0.63</v>
      </c>
      <c r="D802" t="s">
        <v>5</v>
      </c>
      <c r="E802" t="str">
        <f>VLOOKUP(D802,mappings!A:B,2,FALSE)</f>
        <v>Hospitality</v>
      </c>
      <c r="F802" t="s">
        <v>128</v>
      </c>
    </row>
    <row r="803" spans="1:6" x14ac:dyDescent="0.25">
      <c r="A803" t="s">
        <v>104</v>
      </c>
      <c r="B803" t="s">
        <v>106</v>
      </c>
      <c r="C803">
        <v>0.61</v>
      </c>
      <c r="D803" t="s">
        <v>4</v>
      </c>
      <c r="E803" t="str">
        <f>VLOOKUP(D803,mappings!A:B,2,FALSE)</f>
        <v>Creative</v>
      </c>
      <c r="F803" t="s">
        <v>128</v>
      </c>
    </row>
    <row r="804" spans="1:6" x14ac:dyDescent="0.25">
      <c r="A804" t="s">
        <v>104</v>
      </c>
      <c r="B804" t="s">
        <v>106</v>
      </c>
      <c r="C804">
        <v>0.6</v>
      </c>
      <c r="D804" t="s">
        <v>47</v>
      </c>
      <c r="E804" t="str">
        <f>VLOOKUP(D804,mappings!A:B,2,FALSE)</f>
        <v>Legal</v>
      </c>
      <c r="F804" t="s">
        <v>128</v>
      </c>
    </row>
    <row r="805" spans="1:6" x14ac:dyDescent="0.25">
      <c r="A805" t="s">
        <v>104</v>
      </c>
      <c r="B805" t="s">
        <v>106</v>
      </c>
      <c r="C805">
        <v>0.59</v>
      </c>
      <c r="D805" t="s">
        <v>25</v>
      </c>
      <c r="E805" t="str">
        <f>VLOOKUP(D805,mappings!A:B,2,FALSE)</f>
        <v>Creative</v>
      </c>
      <c r="F805" t="s">
        <v>128</v>
      </c>
    </row>
    <row r="806" spans="1:6" x14ac:dyDescent="0.25">
      <c r="A806" t="s">
        <v>104</v>
      </c>
      <c r="B806" t="s">
        <v>106</v>
      </c>
      <c r="C806">
        <v>0.59</v>
      </c>
      <c r="D806" t="s">
        <v>48</v>
      </c>
      <c r="E806" t="str">
        <f>VLOOKUP(D806,mappings!A:B,2,FALSE)</f>
        <v>STEM</v>
      </c>
      <c r="F806" t="s">
        <v>128</v>
      </c>
    </row>
    <row r="807" spans="1:6" x14ac:dyDescent="0.25">
      <c r="A807" t="s">
        <v>104</v>
      </c>
      <c r="B807" t="s">
        <v>106</v>
      </c>
      <c r="C807">
        <v>0.59</v>
      </c>
      <c r="D807" t="s">
        <v>24</v>
      </c>
      <c r="E807" t="str">
        <f>VLOOKUP(D807,mappings!A:B,2,FALSE)</f>
        <v>Education</v>
      </c>
      <c r="F807" t="s">
        <v>128</v>
      </c>
    </row>
    <row r="808" spans="1:6" x14ac:dyDescent="0.25">
      <c r="A808" t="s">
        <v>104</v>
      </c>
      <c r="B808" t="s">
        <v>106</v>
      </c>
      <c r="C808">
        <v>0.59</v>
      </c>
      <c r="D808" t="s">
        <v>16</v>
      </c>
      <c r="E808" t="str">
        <f>VLOOKUP(D808,mappings!A:B,2,FALSE)</f>
        <v>Finance</v>
      </c>
      <c r="F808" t="s">
        <v>128</v>
      </c>
    </row>
    <row r="809" spans="1:6" x14ac:dyDescent="0.25">
      <c r="A809" t="s">
        <v>104</v>
      </c>
      <c r="B809" t="s">
        <v>106</v>
      </c>
      <c r="C809">
        <v>0.59</v>
      </c>
      <c r="D809" t="s">
        <v>7</v>
      </c>
      <c r="E809" t="str">
        <f>VLOOKUP(D809,mappings!A:B,2,FALSE)</f>
        <v>Legal</v>
      </c>
      <c r="F809" t="s">
        <v>128</v>
      </c>
    </row>
    <row r="810" spans="1:6" x14ac:dyDescent="0.25">
      <c r="A810" t="s">
        <v>104</v>
      </c>
      <c r="B810" t="s">
        <v>106</v>
      </c>
      <c r="C810">
        <v>0.59</v>
      </c>
      <c r="D810" t="s">
        <v>85</v>
      </c>
      <c r="E810" t="str">
        <f>VLOOKUP(D810,mappings!A:B,2,FALSE)</f>
        <v>STEM</v>
      </c>
      <c r="F810" t="s">
        <v>128</v>
      </c>
    </row>
    <row r="811" spans="1:6" x14ac:dyDescent="0.25">
      <c r="A811" t="s">
        <v>104</v>
      </c>
      <c r="B811" t="s">
        <v>106</v>
      </c>
      <c r="C811">
        <v>0.59</v>
      </c>
      <c r="D811" t="s">
        <v>32</v>
      </c>
      <c r="E811" t="str">
        <f>VLOOKUP(D811,mappings!A:B,2,FALSE)</f>
        <v>Human Resources</v>
      </c>
      <c r="F811" t="s">
        <v>128</v>
      </c>
    </row>
    <row r="812" spans="1:6" x14ac:dyDescent="0.25">
      <c r="A812" t="s">
        <v>104</v>
      </c>
      <c r="B812" t="s">
        <v>106</v>
      </c>
      <c r="C812">
        <v>0.57999999999999996</v>
      </c>
      <c r="D812" t="s">
        <v>42</v>
      </c>
      <c r="E812" t="str">
        <f>VLOOKUP(D812,mappings!A:B,2,FALSE)</f>
        <v>Healthcare</v>
      </c>
      <c r="F812" t="s">
        <v>128</v>
      </c>
    </row>
    <row r="813" spans="1:6" x14ac:dyDescent="0.25">
      <c r="A813" t="s">
        <v>104</v>
      </c>
      <c r="B813" t="s">
        <v>106</v>
      </c>
      <c r="C813">
        <v>0.57999999999999996</v>
      </c>
      <c r="D813" t="s">
        <v>40</v>
      </c>
      <c r="E813" t="str">
        <f>VLOOKUP(D813,mappings!A:B,2,FALSE)</f>
        <v>STEM</v>
      </c>
      <c r="F813" t="s">
        <v>128</v>
      </c>
    </row>
    <row r="814" spans="1:6" x14ac:dyDescent="0.25">
      <c r="A814" t="s">
        <v>104</v>
      </c>
      <c r="B814" t="s">
        <v>106</v>
      </c>
      <c r="C814">
        <v>0.57999999999999996</v>
      </c>
      <c r="D814" t="s">
        <v>10</v>
      </c>
      <c r="E814" t="str">
        <f>VLOOKUP(D814,mappings!A:B,2,FALSE)</f>
        <v>Healthcare</v>
      </c>
      <c r="F814" t="s">
        <v>128</v>
      </c>
    </row>
    <row r="815" spans="1:6" x14ac:dyDescent="0.25">
      <c r="A815" t="s">
        <v>104</v>
      </c>
      <c r="B815" t="s">
        <v>106</v>
      </c>
      <c r="C815">
        <v>0.57999999999999996</v>
      </c>
      <c r="D815" t="s">
        <v>38</v>
      </c>
      <c r="E815" t="str">
        <f>VLOOKUP(D815,mappings!A:B,2,FALSE)</f>
        <v>Healthcare</v>
      </c>
      <c r="F815" t="s">
        <v>128</v>
      </c>
    </row>
    <row r="816" spans="1:6" x14ac:dyDescent="0.25">
      <c r="A816" t="s">
        <v>104</v>
      </c>
      <c r="B816" t="s">
        <v>106</v>
      </c>
      <c r="C816">
        <v>0.57999999999999996</v>
      </c>
      <c r="D816" t="s">
        <v>21</v>
      </c>
      <c r="E816" t="str">
        <f>VLOOKUP(D816,mappings!A:B,2,FALSE)</f>
        <v>Trades</v>
      </c>
      <c r="F816" t="s">
        <v>128</v>
      </c>
    </row>
    <row r="817" spans="1:6" x14ac:dyDescent="0.25">
      <c r="A817" t="s">
        <v>104</v>
      </c>
      <c r="B817" t="s">
        <v>106</v>
      </c>
      <c r="C817">
        <v>0.57999999999999996</v>
      </c>
      <c r="D817" t="s">
        <v>52</v>
      </c>
      <c r="E817" t="str">
        <f>VLOOKUP(D817,mappings!A:B,2,FALSE)</f>
        <v>Operations</v>
      </c>
      <c r="F817" t="s">
        <v>128</v>
      </c>
    </row>
    <row r="818" spans="1:6" x14ac:dyDescent="0.25">
      <c r="A818" t="s">
        <v>104</v>
      </c>
      <c r="B818" t="s">
        <v>106</v>
      </c>
      <c r="C818">
        <v>0.57999999999999996</v>
      </c>
      <c r="D818" t="s">
        <v>59</v>
      </c>
      <c r="E818" t="str">
        <f>VLOOKUP(D818,mappings!A:B,2,FALSE)</f>
        <v>Real Estate</v>
      </c>
      <c r="F818" t="s">
        <v>128</v>
      </c>
    </row>
    <row r="819" spans="1:6" x14ac:dyDescent="0.25">
      <c r="A819" t="s">
        <v>104</v>
      </c>
      <c r="B819" t="s">
        <v>106</v>
      </c>
      <c r="C819">
        <v>0.57999999999999996</v>
      </c>
      <c r="D819" t="s">
        <v>91</v>
      </c>
      <c r="E819" t="str">
        <f>VLOOKUP(D819,mappings!A:B,2,FALSE)</f>
        <v>Finance</v>
      </c>
      <c r="F819" t="s">
        <v>128</v>
      </c>
    </row>
    <row r="820" spans="1:6" x14ac:dyDescent="0.25">
      <c r="A820" t="s">
        <v>104</v>
      </c>
      <c r="B820" t="s">
        <v>106</v>
      </c>
      <c r="C820">
        <v>0.57999999999999996</v>
      </c>
      <c r="D820" t="s">
        <v>23</v>
      </c>
      <c r="E820" t="str">
        <f>VLOOKUP(D820,mappings!A:B,2,FALSE)</f>
        <v>Creative</v>
      </c>
      <c r="F820" t="s">
        <v>128</v>
      </c>
    </row>
    <row r="821" spans="1:6" x14ac:dyDescent="0.25">
      <c r="A821" t="s">
        <v>104</v>
      </c>
      <c r="B821" t="s">
        <v>106</v>
      </c>
      <c r="C821">
        <v>0.57999999999999996</v>
      </c>
      <c r="D821" t="s">
        <v>63</v>
      </c>
      <c r="E821" t="str">
        <f>VLOOKUP(D821,mappings!A:B,2,FALSE)</f>
        <v>Finance</v>
      </c>
      <c r="F821" t="s">
        <v>128</v>
      </c>
    </row>
    <row r="822" spans="1:6" x14ac:dyDescent="0.25">
      <c r="A822" t="s">
        <v>104</v>
      </c>
      <c r="B822" t="s">
        <v>106</v>
      </c>
      <c r="C822">
        <v>0.57999999999999996</v>
      </c>
      <c r="D822" t="s">
        <v>27</v>
      </c>
      <c r="E822" t="str">
        <f>VLOOKUP(D822,mappings!A:B,2,FALSE)</f>
        <v>Management</v>
      </c>
      <c r="F822" t="s">
        <v>128</v>
      </c>
    </row>
    <row r="823" spans="1:6" x14ac:dyDescent="0.25">
      <c r="A823" t="s">
        <v>104</v>
      </c>
      <c r="B823" t="s">
        <v>106</v>
      </c>
      <c r="C823">
        <v>0.56999999999999995</v>
      </c>
      <c r="D823" t="s">
        <v>15</v>
      </c>
      <c r="E823" t="str">
        <f>VLOOKUP(D823,mappings!A:B,2,FALSE)</f>
        <v>Trades</v>
      </c>
      <c r="F823" t="s">
        <v>128</v>
      </c>
    </row>
    <row r="824" spans="1:6" x14ac:dyDescent="0.25">
      <c r="A824" t="s">
        <v>104</v>
      </c>
      <c r="B824" t="s">
        <v>106</v>
      </c>
      <c r="C824">
        <v>0.56999999999999995</v>
      </c>
      <c r="D824" t="s">
        <v>36</v>
      </c>
      <c r="E824" t="str">
        <f>VLOOKUP(D824,mappings!A:B,2,FALSE)</f>
        <v>Healthcare</v>
      </c>
      <c r="F824" t="s">
        <v>128</v>
      </c>
    </row>
    <row r="825" spans="1:6" x14ac:dyDescent="0.25">
      <c r="A825" t="s">
        <v>104</v>
      </c>
      <c r="B825" t="s">
        <v>106</v>
      </c>
      <c r="C825">
        <v>0.56999999999999995</v>
      </c>
      <c r="D825" t="s">
        <v>75</v>
      </c>
      <c r="E825" t="str">
        <f>VLOOKUP(D825,mappings!A:B,2,FALSE)</f>
        <v>STEM</v>
      </c>
      <c r="F825" t="s">
        <v>128</v>
      </c>
    </row>
    <row r="826" spans="1:6" x14ac:dyDescent="0.25">
      <c r="A826" t="s">
        <v>104</v>
      </c>
      <c r="B826" t="s">
        <v>106</v>
      </c>
      <c r="C826">
        <v>0.56999999999999995</v>
      </c>
      <c r="D826" t="s">
        <v>41</v>
      </c>
      <c r="E826" t="str">
        <f>VLOOKUP(D826,mappings!A:B,2,FALSE)</f>
        <v>Healthcare</v>
      </c>
      <c r="F826" t="s">
        <v>128</v>
      </c>
    </row>
    <row r="827" spans="1:6" x14ac:dyDescent="0.25">
      <c r="A827" t="s">
        <v>104</v>
      </c>
      <c r="B827" t="s">
        <v>106</v>
      </c>
      <c r="C827">
        <v>0.56999999999999995</v>
      </c>
      <c r="D827" t="s">
        <v>18</v>
      </c>
      <c r="E827" t="str">
        <f>VLOOKUP(D827,mappings!A:B,2,FALSE)</f>
        <v>Finance</v>
      </c>
      <c r="F827" t="s">
        <v>128</v>
      </c>
    </row>
    <row r="828" spans="1:6" x14ac:dyDescent="0.25">
      <c r="A828" t="s">
        <v>104</v>
      </c>
      <c r="B828" t="s">
        <v>106</v>
      </c>
      <c r="C828">
        <v>0.56999999999999995</v>
      </c>
      <c r="D828" t="s">
        <v>56</v>
      </c>
      <c r="E828" t="str">
        <f>VLOOKUP(D828,mappings!A:B,2,FALSE)</f>
        <v>STEM</v>
      </c>
      <c r="F828" t="s">
        <v>128</v>
      </c>
    </row>
    <row r="829" spans="1:6" x14ac:dyDescent="0.25">
      <c r="A829" t="s">
        <v>104</v>
      </c>
      <c r="B829" t="s">
        <v>106</v>
      </c>
      <c r="C829">
        <v>0.56999999999999995</v>
      </c>
      <c r="D829" t="s">
        <v>33</v>
      </c>
      <c r="E829" t="str">
        <f>VLOOKUP(D829,mappings!A:B,2,FALSE)</f>
        <v>Education</v>
      </c>
      <c r="F829" t="s">
        <v>128</v>
      </c>
    </row>
    <row r="830" spans="1:6" x14ac:dyDescent="0.25">
      <c r="A830" t="s">
        <v>104</v>
      </c>
      <c r="B830" t="s">
        <v>106</v>
      </c>
      <c r="C830">
        <v>0.56999999999999995</v>
      </c>
      <c r="D830" t="s">
        <v>57</v>
      </c>
      <c r="E830" t="str">
        <f>VLOOKUP(D830,mappings!A:B,2,FALSE)</f>
        <v>Finance</v>
      </c>
      <c r="F830" t="s">
        <v>128</v>
      </c>
    </row>
    <row r="831" spans="1:6" x14ac:dyDescent="0.25">
      <c r="A831" t="s">
        <v>104</v>
      </c>
      <c r="B831" t="s">
        <v>106</v>
      </c>
      <c r="C831">
        <v>0.56999999999999995</v>
      </c>
      <c r="D831" t="s">
        <v>49</v>
      </c>
      <c r="E831" t="str">
        <f>VLOOKUP(D831,mappings!A:B,2,FALSE)</f>
        <v>Healthcare</v>
      </c>
      <c r="F831" t="s">
        <v>128</v>
      </c>
    </row>
    <row r="832" spans="1:6" x14ac:dyDescent="0.25">
      <c r="A832" t="s">
        <v>104</v>
      </c>
      <c r="B832" t="s">
        <v>106</v>
      </c>
      <c r="C832">
        <v>0.56999999999999995</v>
      </c>
      <c r="D832" t="s">
        <v>50</v>
      </c>
      <c r="E832" t="str">
        <f>VLOOKUP(D832,mappings!A:B,2,FALSE)</f>
        <v>Education</v>
      </c>
      <c r="F832" t="s">
        <v>128</v>
      </c>
    </row>
    <row r="833" spans="1:6" x14ac:dyDescent="0.25">
      <c r="A833" t="s">
        <v>104</v>
      </c>
      <c r="B833" t="s">
        <v>106</v>
      </c>
      <c r="C833">
        <v>0.56999999999999995</v>
      </c>
      <c r="D833" t="s">
        <v>35</v>
      </c>
      <c r="E833" t="str">
        <f>VLOOKUP(D833,mappings!A:B,2,FALSE)</f>
        <v>Education</v>
      </c>
      <c r="F833" t="s">
        <v>128</v>
      </c>
    </row>
    <row r="834" spans="1:6" x14ac:dyDescent="0.25">
      <c r="A834" t="s">
        <v>104</v>
      </c>
      <c r="B834" t="s">
        <v>106</v>
      </c>
      <c r="C834">
        <v>0.56000000000000005</v>
      </c>
      <c r="D834" t="s">
        <v>72</v>
      </c>
      <c r="E834" t="str">
        <f>VLOOKUP(D834,mappings!A:B,2,FALSE)</f>
        <v>STEM</v>
      </c>
      <c r="F834" t="s">
        <v>128</v>
      </c>
    </row>
    <row r="835" spans="1:6" x14ac:dyDescent="0.25">
      <c r="A835" t="s">
        <v>104</v>
      </c>
      <c r="B835" t="s">
        <v>106</v>
      </c>
      <c r="C835">
        <v>0.56000000000000005</v>
      </c>
      <c r="D835" t="s">
        <v>68</v>
      </c>
      <c r="E835" t="str">
        <f>VLOOKUP(D835,mappings!A:B,2,FALSE)</f>
        <v>STEM</v>
      </c>
      <c r="F835" t="s">
        <v>128</v>
      </c>
    </row>
    <row r="836" spans="1:6" x14ac:dyDescent="0.25">
      <c r="A836" t="s">
        <v>104</v>
      </c>
      <c r="B836" t="s">
        <v>106</v>
      </c>
      <c r="C836">
        <v>0.56000000000000005</v>
      </c>
      <c r="D836" t="s">
        <v>17</v>
      </c>
      <c r="E836" t="str">
        <f>VLOOKUP(D836,mappings!A:B,2,FALSE)</f>
        <v>Sales</v>
      </c>
      <c r="F836" t="s">
        <v>128</v>
      </c>
    </row>
    <row r="837" spans="1:6" x14ac:dyDescent="0.25">
      <c r="A837" t="s">
        <v>104</v>
      </c>
      <c r="B837" t="s">
        <v>106</v>
      </c>
      <c r="C837">
        <v>0.56000000000000005</v>
      </c>
      <c r="D837" t="s">
        <v>34</v>
      </c>
      <c r="E837" t="str">
        <f>VLOOKUP(D837,mappings!A:B,2,FALSE)</f>
        <v>STEM</v>
      </c>
      <c r="F837" t="s">
        <v>128</v>
      </c>
    </row>
    <row r="838" spans="1:6" x14ac:dyDescent="0.25">
      <c r="A838" t="s">
        <v>104</v>
      </c>
      <c r="B838" t="s">
        <v>106</v>
      </c>
      <c r="C838">
        <v>0.56000000000000005</v>
      </c>
      <c r="D838" t="s">
        <v>26</v>
      </c>
      <c r="E838" t="str">
        <f>VLOOKUP(D838,mappings!A:B,2,FALSE)</f>
        <v>Healthcare</v>
      </c>
      <c r="F838" t="s">
        <v>128</v>
      </c>
    </row>
    <row r="839" spans="1:6" x14ac:dyDescent="0.25">
      <c r="A839" t="s">
        <v>104</v>
      </c>
      <c r="B839" t="s">
        <v>106</v>
      </c>
      <c r="C839">
        <v>0.56000000000000005</v>
      </c>
      <c r="D839" t="s">
        <v>98</v>
      </c>
      <c r="E839" t="str">
        <f>VLOOKUP(D839,mappings!A:B,2,FALSE)</f>
        <v>STEM</v>
      </c>
      <c r="F839" t="s">
        <v>128</v>
      </c>
    </row>
    <row r="840" spans="1:6" x14ac:dyDescent="0.25">
      <c r="A840" t="s">
        <v>104</v>
      </c>
      <c r="B840" t="s">
        <v>106</v>
      </c>
      <c r="C840">
        <v>0.56000000000000005</v>
      </c>
      <c r="D840" t="s">
        <v>6</v>
      </c>
      <c r="E840" t="str">
        <f>VLOOKUP(D840,mappings!A:B,2,FALSE)</f>
        <v>Hospitality</v>
      </c>
      <c r="F840" t="s">
        <v>128</v>
      </c>
    </row>
    <row r="841" spans="1:6" x14ac:dyDescent="0.25">
      <c r="A841" t="s">
        <v>104</v>
      </c>
      <c r="B841" t="s">
        <v>106</v>
      </c>
      <c r="C841">
        <v>0.56000000000000005</v>
      </c>
      <c r="D841" t="s">
        <v>94</v>
      </c>
      <c r="E841" t="str">
        <f>VLOOKUP(D841,mappings!A:B,2,FALSE)</f>
        <v>Management</v>
      </c>
      <c r="F841" t="s">
        <v>128</v>
      </c>
    </row>
    <row r="842" spans="1:6" x14ac:dyDescent="0.25">
      <c r="A842" t="s">
        <v>104</v>
      </c>
      <c r="B842" t="s">
        <v>106</v>
      </c>
      <c r="C842">
        <v>0.56000000000000005</v>
      </c>
      <c r="D842" t="s">
        <v>90</v>
      </c>
      <c r="E842" t="str">
        <f>VLOOKUP(D842,mappings!A:B,2,FALSE)</f>
        <v>Marketing</v>
      </c>
      <c r="F842" t="s">
        <v>128</v>
      </c>
    </row>
    <row r="843" spans="1:6" x14ac:dyDescent="0.25">
      <c r="A843" t="s">
        <v>104</v>
      </c>
      <c r="B843" t="s">
        <v>106</v>
      </c>
      <c r="C843">
        <v>0.56000000000000005</v>
      </c>
      <c r="D843" t="s">
        <v>14</v>
      </c>
      <c r="E843" t="str">
        <f>VLOOKUP(D843,mappings!A:B,2,FALSE)</f>
        <v>Creative</v>
      </c>
      <c r="F843" t="s">
        <v>128</v>
      </c>
    </row>
    <row r="844" spans="1:6" x14ac:dyDescent="0.25">
      <c r="A844" t="s">
        <v>104</v>
      </c>
      <c r="B844" t="s">
        <v>106</v>
      </c>
      <c r="C844">
        <v>0.56000000000000005</v>
      </c>
      <c r="D844" t="s">
        <v>37</v>
      </c>
      <c r="E844" t="str">
        <f>VLOOKUP(D844,mappings!A:B,2,FALSE)</f>
        <v>Marketing</v>
      </c>
      <c r="F844" t="s">
        <v>128</v>
      </c>
    </row>
    <row r="845" spans="1:6" x14ac:dyDescent="0.25">
      <c r="A845" t="s">
        <v>104</v>
      </c>
      <c r="B845" t="s">
        <v>106</v>
      </c>
      <c r="C845">
        <v>0.56000000000000005</v>
      </c>
      <c r="D845" t="s">
        <v>9</v>
      </c>
      <c r="E845" t="str">
        <f>VLOOKUP(D845,mappings!A:B,2,FALSE)</f>
        <v>Education</v>
      </c>
      <c r="F845" t="s">
        <v>128</v>
      </c>
    </row>
    <row r="846" spans="1:6" x14ac:dyDescent="0.25">
      <c r="A846" t="s">
        <v>104</v>
      </c>
      <c r="B846" t="s">
        <v>106</v>
      </c>
      <c r="C846">
        <v>0.56000000000000005</v>
      </c>
      <c r="D846" t="s">
        <v>58</v>
      </c>
      <c r="E846" t="str">
        <f>VLOOKUP(D846,mappings!A:B,2,FALSE)</f>
        <v>Education</v>
      </c>
      <c r="F846" t="s">
        <v>128</v>
      </c>
    </row>
    <row r="847" spans="1:6" x14ac:dyDescent="0.25">
      <c r="A847" t="s">
        <v>104</v>
      </c>
      <c r="B847" t="s">
        <v>106</v>
      </c>
      <c r="C847">
        <v>0.56000000000000005</v>
      </c>
      <c r="D847" t="s">
        <v>61</v>
      </c>
      <c r="E847" t="str">
        <f>VLOOKUP(D847,mappings!A:B,2,FALSE)</f>
        <v>STEM</v>
      </c>
      <c r="F847" t="s">
        <v>128</v>
      </c>
    </row>
    <row r="848" spans="1:6" x14ac:dyDescent="0.25">
      <c r="A848" t="s">
        <v>104</v>
      </c>
      <c r="B848" t="s">
        <v>106</v>
      </c>
      <c r="C848">
        <v>0.56000000000000005</v>
      </c>
      <c r="D848" t="s">
        <v>20</v>
      </c>
      <c r="E848" t="str">
        <f>VLOOKUP(D848,mappings!A:B,2,FALSE)</f>
        <v>Hospitality</v>
      </c>
      <c r="F848" t="s">
        <v>128</v>
      </c>
    </row>
    <row r="849" spans="1:6" x14ac:dyDescent="0.25">
      <c r="A849" t="s">
        <v>104</v>
      </c>
      <c r="B849" t="s">
        <v>106</v>
      </c>
      <c r="C849">
        <v>0.56000000000000005</v>
      </c>
      <c r="D849" t="s">
        <v>60</v>
      </c>
      <c r="E849" t="str">
        <f>VLOOKUP(D849,mappings!A:B,2,FALSE)</f>
        <v>Finance</v>
      </c>
      <c r="F849" t="s">
        <v>128</v>
      </c>
    </row>
    <row r="850" spans="1:6" x14ac:dyDescent="0.25">
      <c r="A850" t="s">
        <v>104</v>
      </c>
      <c r="B850" t="s">
        <v>106</v>
      </c>
      <c r="C850">
        <v>0.56000000000000005</v>
      </c>
      <c r="D850" t="s">
        <v>100</v>
      </c>
      <c r="E850" t="str">
        <f>VLOOKUP(D850,mappings!A:B,2,FALSE)</f>
        <v>Management</v>
      </c>
      <c r="F850" t="s">
        <v>128</v>
      </c>
    </row>
    <row r="851" spans="1:6" x14ac:dyDescent="0.25">
      <c r="A851" t="s">
        <v>104</v>
      </c>
      <c r="B851" t="s">
        <v>106</v>
      </c>
      <c r="C851">
        <v>0.56000000000000005</v>
      </c>
      <c r="D851" t="s">
        <v>39</v>
      </c>
      <c r="E851" t="str">
        <f>VLOOKUP(D851,mappings!A:B,2,FALSE)</f>
        <v>Administration</v>
      </c>
      <c r="F851" t="s">
        <v>128</v>
      </c>
    </row>
    <row r="852" spans="1:6" x14ac:dyDescent="0.25">
      <c r="A852" t="s">
        <v>104</v>
      </c>
      <c r="B852" t="s">
        <v>106</v>
      </c>
      <c r="C852">
        <v>0.56000000000000005</v>
      </c>
      <c r="D852" t="s">
        <v>43</v>
      </c>
      <c r="E852" t="str">
        <f>VLOOKUP(D852,mappings!A:B,2,FALSE)</f>
        <v>Management</v>
      </c>
      <c r="F852" t="s">
        <v>128</v>
      </c>
    </row>
    <row r="853" spans="1:6" x14ac:dyDescent="0.25">
      <c r="A853" t="s">
        <v>104</v>
      </c>
      <c r="B853" t="s">
        <v>106</v>
      </c>
      <c r="C853">
        <v>0.56000000000000005</v>
      </c>
      <c r="D853" t="s">
        <v>80</v>
      </c>
      <c r="E853" t="str">
        <f>VLOOKUP(D853,mappings!A:B,2,FALSE)</f>
        <v>Hospitality</v>
      </c>
      <c r="F853" t="s">
        <v>128</v>
      </c>
    </row>
    <row r="854" spans="1:6" x14ac:dyDescent="0.25">
      <c r="A854" t="s">
        <v>104</v>
      </c>
      <c r="B854" t="s">
        <v>106</v>
      </c>
      <c r="C854">
        <v>0.56000000000000005</v>
      </c>
      <c r="D854" t="s">
        <v>46</v>
      </c>
      <c r="E854" t="str">
        <f>VLOOKUP(D854,mappings!A:B,2,FALSE)</f>
        <v>STEM</v>
      </c>
      <c r="F854" t="s">
        <v>128</v>
      </c>
    </row>
    <row r="855" spans="1:6" x14ac:dyDescent="0.25">
      <c r="A855" t="s">
        <v>104</v>
      </c>
      <c r="B855" t="s">
        <v>106</v>
      </c>
      <c r="C855">
        <v>0.55000000000000004</v>
      </c>
      <c r="D855" t="s">
        <v>73</v>
      </c>
      <c r="E855" t="str">
        <f>VLOOKUP(D855,mappings!A:B,2,FALSE)</f>
        <v>Finance</v>
      </c>
      <c r="F855" t="s">
        <v>128</v>
      </c>
    </row>
    <row r="856" spans="1:6" x14ac:dyDescent="0.25">
      <c r="A856" t="s">
        <v>104</v>
      </c>
      <c r="B856" t="s">
        <v>106</v>
      </c>
      <c r="C856">
        <v>0.55000000000000004</v>
      </c>
      <c r="D856" t="s">
        <v>31</v>
      </c>
      <c r="E856" t="str">
        <f>VLOOKUP(D856,mappings!A:B,2,FALSE)</f>
        <v>STEM</v>
      </c>
      <c r="F856" t="s">
        <v>128</v>
      </c>
    </row>
    <row r="857" spans="1:6" x14ac:dyDescent="0.25">
      <c r="A857" t="s">
        <v>104</v>
      </c>
      <c r="B857" t="s">
        <v>106</v>
      </c>
      <c r="C857">
        <v>0.55000000000000004</v>
      </c>
      <c r="D857" t="s">
        <v>77</v>
      </c>
      <c r="E857" t="str">
        <f>VLOOKUP(D857,mappings!A:B,2,FALSE)</f>
        <v>Legal</v>
      </c>
      <c r="F857" t="s">
        <v>128</v>
      </c>
    </row>
    <row r="858" spans="1:6" x14ac:dyDescent="0.25">
      <c r="A858" t="s">
        <v>104</v>
      </c>
      <c r="B858" t="s">
        <v>106</v>
      </c>
      <c r="C858">
        <v>0.55000000000000004</v>
      </c>
      <c r="D858" t="s">
        <v>74</v>
      </c>
      <c r="E858" t="str">
        <f>VLOOKUP(D858,mappings!A:B,2,FALSE)</f>
        <v>Healthcare</v>
      </c>
      <c r="F858" t="s">
        <v>128</v>
      </c>
    </row>
    <row r="859" spans="1:6" x14ac:dyDescent="0.25">
      <c r="A859" t="s">
        <v>104</v>
      </c>
      <c r="B859" t="s">
        <v>106</v>
      </c>
      <c r="C859">
        <v>0.55000000000000004</v>
      </c>
      <c r="D859" t="s">
        <v>76</v>
      </c>
      <c r="E859" t="str">
        <f>VLOOKUP(D859,mappings!A:B,2,FALSE)</f>
        <v>Real Estate</v>
      </c>
      <c r="F859" t="s">
        <v>128</v>
      </c>
    </row>
    <row r="860" spans="1:6" x14ac:dyDescent="0.25">
      <c r="A860" t="s">
        <v>104</v>
      </c>
      <c r="B860" t="s">
        <v>106</v>
      </c>
      <c r="C860">
        <v>0.55000000000000004</v>
      </c>
      <c r="D860" t="s">
        <v>45</v>
      </c>
      <c r="E860" t="str">
        <f>VLOOKUP(D860,mappings!A:B,2,FALSE)</f>
        <v>Administration</v>
      </c>
      <c r="F860" t="s">
        <v>128</v>
      </c>
    </row>
    <row r="861" spans="1:6" x14ac:dyDescent="0.25">
      <c r="A861" t="s">
        <v>104</v>
      </c>
      <c r="B861" t="s">
        <v>106</v>
      </c>
      <c r="C861">
        <v>0.55000000000000004</v>
      </c>
      <c r="D861" t="s">
        <v>11</v>
      </c>
      <c r="E861" t="str">
        <f>VLOOKUP(D861,mappings!A:B,2,FALSE)</f>
        <v>Human Resources</v>
      </c>
      <c r="F861" t="s">
        <v>128</v>
      </c>
    </row>
    <row r="862" spans="1:6" x14ac:dyDescent="0.25">
      <c r="A862" t="s">
        <v>104</v>
      </c>
      <c r="B862" t="s">
        <v>106</v>
      </c>
      <c r="C862">
        <v>0.55000000000000004</v>
      </c>
      <c r="D862" t="s">
        <v>96</v>
      </c>
      <c r="E862" t="str">
        <f>VLOOKUP(D862,mappings!A:B,2,FALSE)</f>
        <v>Sales</v>
      </c>
      <c r="F862" t="s">
        <v>128</v>
      </c>
    </row>
    <row r="863" spans="1:6" x14ac:dyDescent="0.25">
      <c r="A863" t="s">
        <v>104</v>
      </c>
      <c r="B863" t="s">
        <v>106</v>
      </c>
      <c r="C863">
        <v>0.55000000000000004</v>
      </c>
      <c r="D863" t="s">
        <v>83</v>
      </c>
      <c r="E863" t="str">
        <f>VLOOKUP(D863,mappings!A:B,2,FALSE)</f>
        <v>Sales</v>
      </c>
      <c r="F863" t="s">
        <v>128</v>
      </c>
    </row>
    <row r="864" spans="1:6" x14ac:dyDescent="0.25">
      <c r="A864" t="s">
        <v>104</v>
      </c>
      <c r="B864" t="s">
        <v>106</v>
      </c>
      <c r="C864">
        <v>0.55000000000000004</v>
      </c>
      <c r="D864" t="s">
        <v>22</v>
      </c>
      <c r="E864" t="str">
        <f>VLOOKUP(D864,mappings!A:B,2,FALSE)</f>
        <v>Management</v>
      </c>
      <c r="F864" t="s">
        <v>128</v>
      </c>
    </row>
    <row r="865" spans="1:6" x14ac:dyDescent="0.25">
      <c r="A865" t="s">
        <v>104</v>
      </c>
      <c r="B865" t="s">
        <v>106</v>
      </c>
      <c r="C865">
        <v>0.55000000000000004</v>
      </c>
      <c r="D865" t="s">
        <v>30</v>
      </c>
      <c r="E865" t="str">
        <f>VLOOKUP(D865,mappings!A:B,2,FALSE)</f>
        <v>STEM</v>
      </c>
      <c r="F865" t="s">
        <v>128</v>
      </c>
    </row>
    <row r="866" spans="1:6" x14ac:dyDescent="0.25">
      <c r="A866" t="s">
        <v>104</v>
      </c>
      <c r="B866" t="s">
        <v>106</v>
      </c>
      <c r="C866">
        <v>0.55000000000000004</v>
      </c>
      <c r="D866" t="s">
        <v>54</v>
      </c>
      <c r="E866" t="str">
        <f>VLOOKUP(D866,mappings!A:B,2,FALSE)</f>
        <v>Marketing</v>
      </c>
      <c r="F866" t="s">
        <v>128</v>
      </c>
    </row>
    <row r="867" spans="1:6" x14ac:dyDescent="0.25">
      <c r="A867" t="s">
        <v>104</v>
      </c>
      <c r="B867" t="s">
        <v>106</v>
      </c>
      <c r="C867">
        <v>0.55000000000000004</v>
      </c>
      <c r="D867" t="s">
        <v>82</v>
      </c>
      <c r="E867" t="str">
        <f>VLOOKUP(D867,mappings!A:B,2,FALSE)</f>
        <v>STEM</v>
      </c>
      <c r="F867" t="s">
        <v>128</v>
      </c>
    </row>
    <row r="868" spans="1:6" x14ac:dyDescent="0.25">
      <c r="A868" t="s">
        <v>104</v>
      </c>
      <c r="B868" t="s">
        <v>106</v>
      </c>
      <c r="C868">
        <v>0.55000000000000004</v>
      </c>
      <c r="D868" t="s">
        <v>95</v>
      </c>
      <c r="E868" t="str">
        <f>VLOOKUP(D868,mappings!A:B,2,FALSE)</f>
        <v>STEM</v>
      </c>
      <c r="F868" t="s">
        <v>128</v>
      </c>
    </row>
    <row r="869" spans="1:6" x14ac:dyDescent="0.25">
      <c r="A869" t="s">
        <v>104</v>
      </c>
      <c r="B869" t="s">
        <v>106</v>
      </c>
      <c r="C869">
        <v>0.54</v>
      </c>
      <c r="D869" t="s">
        <v>8</v>
      </c>
      <c r="E869" t="str">
        <f>VLOOKUP(D869,mappings!A:B,2,FALSE)</f>
        <v>Healthcare</v>
      </c>
      <c r="F869" t="s">
        <v>128</v>
      </c>
    </row>
    <row r="870" spans="1:6" x14ac:dyDescent="0.25">
      <c r="A870" t="s">
        <v>104</v>
      </c>
      <c r="B870" t="s">
        <v>106</v>
      </c>
      <c r="C870">
        <v>0.54</v>
      </c>
      <c r="D870" t="s">
        <v>29</v>
      </c>
      <c r="E870" t="str">
        <f>VLOOKUP(D870,mappings!A:B,2,FALSE)</f>
        <v>Creative</v>
      </c>
      <c r="F870" t="s">
        <v>128</v>
      </c>
    </row>
    <row r="871" spans="1:6" x14ac:dyDescent="0.25">
      <c r="A871" t="s">
        <v>104</v>
      </c>
      <c r="B871" t="s">
        <v>106</v>
      </c>
      <c r="C871">
        <v>0.54</v>
      </c>
      <c r="D871" t="s">
        <v>102</v>
      </c>
      <c r="E871" t="str">
        <f>VLOOKUP(D871,mappings!A:B,2,FALSE)</f>
        <v>Operations</v>
      </c>
      <c r="F871" t="s">
        <v>128</v>
      </c>
    </row>
    <row r="872" spans="1:6" x14ac:dyDescent="0.25">
      <c r="A872" t="s">
        <v>104</v>
      </c>
      <c r="B872" t="s">
        <v>106</v>
      </c>
      <c r="C872">
        <v>0.54</v>
      </c>
      <c r="D872" t="s">
        <v>13</v>
      </c>
      <c r="E872" t="str">
        <f>VLOOKUP(D872,mappings!A:B,2,FALSE)</f>
        <v>Administration</v>
      </c>
      <c r="F872" t="s">
        <v>128</v>
      </c>
    </row>
    <row r="873" spans="1:6" x14ac:dyDescent="0.25">
      <c r="A873" t="s">
        <v>104</v>
      </c>
      <c r="B873" t="s">
        <v>106</v>
      </c>
      <c r="C873">
        <v>0.54</v>
      </c>
      <c r="D873" t="s">
        <v>51</v>
      </c>
      <c r="E873" t="str">
        <f>VLOOKUP(D873,mappings!A:B,2,FALSE)</f>
        <v>Healthcare</v>
      </c>
      <c r="F873" t="s">
        <v>128</v>
      </c>
    </row>
    <row r="874" spans="1:6" x14ac:dyDescent="0.25">
      <c r="A874" t="s">
        <v>104</v>
      </c>
      <c r="B874" t="s">
        <v>106</v>
      </c>
      <c r="C874">
        <v>0.54</v>
      </c>
      <c r="D874" t="s">
        <v>93</v>
      </c>
      <c r="E874" t="str">
        <f>VLOOKUP(D874,mappings!A:B,2,FALSE)</f>
        <v>Legal</v>
      </c>
      <c r="F874" t="s">
        <v>128</v>
      </c>
    </row>
    <row r="875" spans="1:6" x14ac:dyDescent="0.25">
      <c r="A875" t="s">
        <v>104</v>
      </c>
      <c r="B875" t="s">
        <v>106</v>
      </c>
      <c r="C875">
        <v>0.54</v>
      </c>
      <c r="D875" t="s">
        <v>64</v>
      </c>
      <c r="E875" t="str">
        <f>VLOOKUP(D875,mappings!A:B,2,FALSE)</f>
        <v>STEM</v>
      </c>
      <c r="F875" t="s">
        <v>128</v>
      </c>
    </row>
    <row r="876" spans="1:6" x14ac:dyDescent="0.25">
      <c r="A876" t="s">
        <v>104</v>
      </c>
      <c r="B876" t="s">
        <v>106</v>
      </c>
      <c r="C876">
        <v>0.54</v>
      </c>
      <c r="D876" t="s">
        <v>69</v>
      </c>
      <c r="E876" t="str">
        <f>VLOOKUP(D876,mappings!A:B,2,FALSE)</f>
        <v>Hospitality</v>
      </c>
      <c r="F876" t="s">
        <v>128</v>
      </c>
    </row>
    <row r="877" spans="1:6" x14ac:dyDescent="0.25">
      <c r="A877" t="s">
        <v>104</v>
      </c>
      <c r="B877" t="s">
        <v>106</v>
      </c>
      <c r="C877">
        <v>0.54</v>
      </c>
      <c r="D877" t="s">
        <v>79</v>
      </c>
      <c r="E877" t="str">
        <f>VLOOKUP(D877,mappings!A:B,2,FALSE)</f>
        <v>Marketing</v>
      </c>
      <c r="F877" t="s">
        <v>128</v>
      </c>
    </row>
    <row r="878" spans="1:6" x14ac:dyDescent="0.25">
      <c r="A878" t="s">
        <v>104</v>
      </c>
      <c r="B878" t="s">
        <v>106</v>
      </c>
      <c r="C878">
        <v>0.54</v>
      </c>
      <c r="D878" t="s">
        <v>28</v>
      </c>
      <c r="E878" t="str">
        <f>VLOOKUP(D878,mappings!A:B,2,FALSE)</f>
        <v>STEM</v>
      </c>
      <c r="F878" t="s">
        <v>128</v>
      </c>
    </row>
    <row r="879" spans="1:6" x14ac:dyDescent="0.25">
      <c r="A879" t="s">
        <v>104</v>
      </c>
      <c r="B879" t="s">
        <v>106</v>
      </c>
      <c r="C879">
        <v>0.54</v>
      </c>
      <c r="D879" t="s">
        <v>71</v>
      </c>
      <c r="E879" t="str">
        <f>VLOOKUP(D879,mappings!A:B,2,FALSE)</f>
        <v>STEM</v>
      </c>
      <c r="F879" t="s">
        <v>128</v>
      </c>
    </row>
    <row r="880" spans="1:6" x14ac:dyDescent="0.25">
      <c r="A880" t="s">
        <v>104</v>
      </c>
      <c r="B880" t="s">
        <v>106</v>
      </c>
      <c r="C880">
        <v>0.54</v>
      </c>
      <c r="D880" t="s">
        <v>103</v>
      </c>
      <c r="E880" t="str">
        <f>VLOOKUP(D880,mappings!A:B,2,FALSE)</f>
        <v>Healthcare</v>
      </c>
      <c r="F880" t="s">
        <v>128</v>
      </c>
    </row>
    <row r="881" spans="1:6" x14ac:dyDescent="0.25">
      <c r="A881" t="s">
        <v>104</v>
      </c>
      <c r="B881" t="s">
        <v>106</v>
      </c>
      <c r="C881">
        <v>0.54</v>
      </c>
      <c r="D881" t="s">
        <v>62</v>
      </c>
      <c r="E881" t="str">
        <f>VLOOKUP(D881,mappings!A:B,2,FALSE)</f>
        <v>Marketing</v>
      </c>
      <c r="F881" t="s">
        <v>128</v>
      </c>
    </row>
    <row r="882" spans="1:6" x14ac:dyDescent="0.25">
      <c r="A882" t="s">
        <v>104</v>
      </c>
      <c r="B882" t="s">
        <v>106</v>
      </c>
      <c r="C882">
        <v>0.54</v>
      </c>
      <c r="D882" t="s">
        <v>19</v>
      </c>
      <c r="E882" t="str">
        <f>VLOOKUP(D882,mappings!A:B,2,FALSE)</f>
        <v>Finance</v>
      </c>
      <c r="F882" t="s">
        <v>128</v>
      </c>
    </row>
    <row r="883" spans="1:6" x14ac:dyDescent="0.25">
      <c r="A883" t="s">
        <v>104</v>
      </c>
      <c r="B883" t="s">
        <v>106</v>
      </c>
      <c r="C883">
        <v>0.54</v>
      </c>
      <c r="D883" t="s">
        <v>44</v>
      </c>
      <c r="E883" t="str">
        <f>VLOOKUP(D883,mappings!A:B,2,FALSE)</f>
        <v>Healthcare</v>
      </c>
      <c r="F883" t="s">
        <v>128</v>
      </c>
    </row>
    <row r="884" spans="1:6" x14ac:dyDescent="0.25">
      <c r="A884" t="s">
        <v>104</v>
      </c>
      <c r="B884" t="s">
        <v>106</v>
      </c>
      <c r="C884">
        <v>0.54</v>
      </c>
      <c r="D884" t="s">
        <v>89</v>
      </c>
      <c r="E884" t="str">
        <f>VLOOKUP(D884,mappings!A:B,2,FALSE)</f>
        <v>Finance</v>
      </c>
      <c r="F884" t="s">
        <v>128</v>
      </c>
    </row>
    <row r="885" spans="1:6" x14ac:dyDescent="0.25">
      <c r="A885" t="s">
        <v>104</v>
      </c>
      <c r="B885" t="s">
        <v>106</v>
      </c>
      <c r="C885">
        <v>0.54</v>
      </c>
      <c r="D885" t="s">
        <v>86</v>
      </c>
      <c r="E885" t="str">
        <f>VLOOKUP(D885,mappings!A:B,2,FALSE)</f>
        <v>Finance</v>
      </c>
      <c r="F885" t="s">
        <v>128</v>
      </c>
    </row>
    <row r="886" spans="1:6" x14ac:dyDescent="0.25">
      <c r="A886" t="s">
        <v>104</v>
      </c>
      <c r="B886" t="s">
        <v>106</v>
      </c>
      <c r="C886">
        <v>0.54</v>
      </c>
      <c r="D886" t="s">
        <v>55</v>
      </c>
      <c r="E886" t="str">
        <f>VLOOKUP(D886,mappings!A:B,2,FALSE)</f>
        <v>Human Resources</v>
      </c>
      <c r="F886" t="s">
        <v>128</v>
      </c>
    </row>
    <row r="887" spans="1:6" x14ac:dyDescent="0.25">
      <c r="A887" t="s">
        <v>104</v>
      </c>
      <c r="B887" t="s">
        <v>106</v>
      </c>
      <c r="C887">
        <v>0.54</v>
      </c>
      <c r="D887" t="s">
        <v>66</v>
      </c>
      <c r="E887" t="str">
        <f>VLOOKUP(D887,mappings!A:B,2,FALSE)</f>
        <v>Healthcare</v>
      </c>
      <c r="F887" t="s">
        <v>128</v>
      </c>
    </row>
    <row r="888" spans="1:6" x14ac:dyDescent="0.25">
      <c r="A888" t="s">
        <v>104</v>
      </c>
      <c r="B888" t="s">
        <v>106</v>
      </c>
      <c r="C888">
        <v>0.54</v>
      </c>
      <c r="D888" t="s">
        <v>97</v>
      </c>
      <c r="E888" t="str">
        <f>VLOOKUP(D888,mappings!A:B,2,FALSE)</f>
        <v>STEM</v>
      </c>
      <c r="F888" t="s">
        <v>128</v>
      </c>
    </row>
    <row r="889" spans="1:6" x14ac:dyDescent="0.25">
      <c r="A889" t="s">
        <v>104</v>
      </c>
      <c r="B889" t="s">
        <v>106</v>
      </c>
      <c r="C889">
        <v>0.54</v>
      </c>
      <c r="D889" t="s">
        <v>84</v>
      </c>
      <c r="E889" t="str">
        <f>VLOOKUP(D889,mappings!A:B,2,FALSE)</f>
        <v>Hospitality</v>
      </c>
      <c r="F889" t="s">
        <v>128</v>
      </c>
    </row>
    <row r="890" spans="1:6" x14ac:dyDescent="0.25">
      <c r="A890" t="s">
        <v>104</v>
      </c>
      <c r="B890" t="s">
        <v>106</v>
      </c>
      <c r="C890">
        <v>0.54</v>
      </c>
      <c r="D890" t="s">
        <v>65</v>
      </c>
      <c r="E890" t="str">
        <f>VLOOKUP(D890,mappings!A:B,2,FALSE)</f>
        <v>Management</v>
      </c>
      <c r="F890" t="s">
        <v>128</v>
      </c>
    </row>
    <row r="891" spans="1:6" x14ac:dyDescent="0.25">
      <c r="A891" t="s">
        <v>104</v>
      </c>
      <c r="B891" t="s">
        <v>106</v>
      </c>
      <c r="C891">
        <v>0.53</v>
      </c>
      <c r="D891" t="s">
        <v>78</v>
      </c>
      <c r="E891" t="str">
        <f>VLOOKUP(D891,mappings!A:B,2,FALSE)</f>
        <v>Hospitality</v>
      </c>
      <c r="F891" t="s">
        <v>128</v>
      </c>
    </row>
    <row r="892" spans="1:6" x14ac:dyDescent="0.25">
      <c r="A892" t="s">
        <v>104</v>
      </c>
      <c r="B892" t="s">
        <v>106</v>
      </c>
      <c r="C892">
        <v>0.53</v>
      </c>
      <c r="D892" t="s">
        <v>12</v>
      </c>
      <c r="E892" t="str">
        <f>VLOOKUP(D892,mappings!A:B,2,FALSE)</f>
        <v>STEM</v>
      </c>
      <c r="F892" t="s">
        <v>128</v>
      </c>
    </row>
    <row r="893" spans="1:6" x14ac:dyDescent="0.25">
      <c r="A893" t="s">
        <v>104</v>
      </c>
      <c r="B893" t="s">
        <v>106</v>
      </c>
      <c r="C893">
        <v>0.53</v>
      </c>
      <c r="D893" t="s">
        <v>92</v>
      </c>
      <c r="E893" t="str">
        <f>VLOOKUP(D893,mappings!A:B,2,FALSE)</f>
        <v>Management</v>
      </c>
      <c r="F893" t="s">
        <v>128</v>
      </c>
    </row>
    <row r="894" spans="1:6" x14ac:dyDescent="0.25">
      <c r="A894" t="s">
        <v>104</v>
      </c>
      <c r="B894" t="s">
        <v>106</v>
      </c>
      <c r="C894">
        <v>0.53</v>
      </c>
      <c r="D894" t="s">
        <v>70</v>
      </c>
      <c r="E894" t="str">
        <f>VLOOKUP(D894,mappings!A:B,2,FALSE)</f>
        <v>Operations</v>
      </c>
      <c r="F894" t="s">
        <v>128</v>
      </c>
    </row>
    <row r="895" spans="1:6" x14ac:dyDescent="0.25">
      <c r="A895" t="s">
        <v>104</v>
      </c>
      <c r="B895" t="s">
        <v>106</v>
      </c>
      <c r="C895">
        <v>0.53</v>
      </c>
      <c r="D895" t="s">
        <v>67</v>
      </c>
      <c r="E895" t="str">
        <f>VLOOKUP(D895,mappings!A:B,2,FALSE)</f>
        <v>Finance</v>
      </c>
      <c r="F895" t="s">
        <v>128</v>
      </c>
    </row>
    <row r="896" spans="1:6" x14ac:dyDescent="0.25">
      <c r="A896" t="s">
        <v>104</v>
      </c>
      <c r="B896" t="s">
        <v>106</v>
      </c>
      <c r="C896">
        <v>0.53</v>
      </c>
      <c r="D896" t="s">
        <v>81</v>
      </c>
      <c r="E896" t="str">
        <f>VLOOKUP(D896,mappings!A:B,2,FALSE)</f>
        <v>Legal</v>
      </c>
      <c r="F896" t="s">
        <v>128</v>
      </c>
    </row>
    <row r="897" spans="1:6" x14ac:dyDescent="0.25">
      <c r="A897" t="s">
        <v>104</v>
      </c>
      <c r="B897" t="s">
        <v>106</v>
      </c>
      <c r="C897">
        <v>0.53</v>
      </c>
      <c r="D897" t="s">
        <v>87</v>
      </c>
      <c r="E897" t="str">
        <f>VLOOKUP(D897,mappings!A:B,2,FALSE)</f>
        <v>Trades</v>
      </c>
      <c r="F897" t="s">
        <v>128</v>
      </c>
    </row>
    <row r="898" spans="1:6" x14ac:dyDescent="0.25">
      <c r="A898" t="s">
        <v>104</v>
      </c>
      <c r="B898" t="s">
        <v>106</v>
      </c>
      <c r="C898">
        <v>0.52</v>
      </c>
      <c r="D898" t="s">
        <v>99</v>
      </c>
      <c r="E898" t="str">
        <f>VLOOKUP(D898,mappings!A:B,2,FALSE)</f>
        <v>Operations</v>
      </c>
      <c r="F898" t="s">
        <v>128</v>
      </c>
    </row>
    <row r="899" spans="1:6" x14ac:dyDescent="0.25">
      <c r="A899" t="s">
        <v>104</v>
      </c>
      <c r="B899" t="s">
        <v>106</v>
      </c>
      <c r="C899">
        <v>0.52</v>
      </c>
      <c r="D899" t="s">
        <v>88</v>
      </c>
      <c r="E899" t="str">
        <f>VLOOKUP(D899,mappings!A:B,2,FALSE)</f>
        <v>Healthcare</v>
      </c>
      <c r="F899" t="s">
        <v>128</v>
      </c>
    </row>
    <row r="900" spans="1:6" x14ac:dyDescent="0.25">
      <c r="A900" t="s">
        <v>104</v>
      </c>
      <c r="B900" t="s">
        <v>106</v>
      </c>
      <c r="C900">
        <v>0.51</v>
      </c>
      <c r="D900" t="s">
        <v>101</v>
      </c>
      <c r="E900" t="str">
        <f>VLOOKUP(D900,mappings!A:B,2,FALSE)</f>
        <v>Healthcare</v>
      </c>
      <c r="F900" t="s">
        <v>128</v>
      </c>
    </row>
    <row r="901" spans="1:6" x14ac:dyDescent="0.25">
      <c r="A901" t="s">
        <v>104</v>
      </c>
      <c r="B901" t="s">
        <v>106</v>
      </c>
      <c r="C901">
        <v>0.5</v>
      </c>
      <c r="D901" t="s">
        <v>53</v>
      </c>
      <c r="E901" t="str">
        <f>VLOOKUP(D901,mappings!A:B,2,FALSE)</f>
        <v>Healthcare</v>
      </c>
      <c r="F901" t="s">
        <v>128</v>
      </c>
    </row>
    <row r="902" spans="1:6" x14ac:dyDescent="0.25">
      <c r="A902" t="s">
        <v>3</v>
      </c>
      <c r="B902" t="s">
        <v>108</v>
      </c>
      <c r="C902">
        <v>0.6</v>
      </c>
      <c r="D902" t="s">
        <v>5</v>
      </c>
      <c r="E902" t="str">
        <f>VLOOKUP(D902,mappings!A:B,2,FALSE)</f>
        <v>Hospitality</v>
      </c>
      <c r="F902" t="s">
        <v>128</v>
      </c>
    </row>
    <row r="903" spans="1:6" x14ac:dyDescent="0.25">
      <c r="A903" t="s">
        <v>3</v>
      </c>
      <c r="B903" t="s">
        <v>108</v>
      </c>
      <c r="C903">
        <v>0.57999999999999996</v>
      </c>
      <c r="D903" t="s">
        <v>14</v>
      </c>
      <c r="E903" t="str">
        <f>VLOOKUP(D903,mappings!A:B,2,FALSE)</f>
        <v>Creative</v>
      </c>
      <c r="F903" t="s">
        <v>128</v>
      </c>
    </row>
    <row r="904" spans="1:6" x14ac:dyDescent="0.25">
      <c r="A904" t="s">
        <v>3</v>
      </c>
      <c r="B904" t="s">
        <v>108</v>
      </c>
      <c r="C904">
        <v>0.57999999999999996</v>
      </c>
      <c r="D904" t="s">
        <v>39</v>
      </c>
      <c r="E904" t="str">
        <f>VLOOKUP(D904,mappings!A:B,2,FALSE)</f>
        <v>Administration</v>
      </c>
      <c r="F904" t="s">
        <v>128</v>
      </c>
    </row>
    <row r="905" spans="1:6" x14ac:dyDescent="0.25">
      <c r="A905" t="s">
        <v>3</v>
      </c>
      <c r="B905" t="s">
        <v>108</v>
      </c>
      <c r="C905">
        <v>0.57999999999999996</v>
      </c>
      <c r="D905" t="s">
        <v>17</v>
      </c>
      <c r="E905" t="str">
        <f>VLOOKUP(D905,mappings!A:B,2,FALSE)</f>
        <v>Sales</v>
      </c>
      <c r="F905" t="s">
        <v>128</v>
      </c>
    </row>
    <row r="906" spans="1:6" x14ac:dyDescent="0.25">
      <c r="A906" t="s">
        <v>3</v>
      </c>
      <c r="B906" t="s">
        <v>108</v>
      </c>
      <c r="C906">
        <v>0.56999999999999995</v>
      </c>
      <c r="D906" t="s">
        <v>47</v>
      </c>
      <c r="E906" t="str">
        <f>VLOOKUP(D906,mappings!A:B,2,FALSE)</f>
        <v>Legal</v>
      </c>
      <c r="F906" t="s">
        <v>128</v>
      </c>
    </row>
    <row r="907" spans="1:6" x14ac:dyDescent="0.25">
      <c r="A907" t="s">
        <v>3</v>
      </c>
      <c r="B907" t="s">
        <v>108</v>
      </c>
      <c r="C907">
        <v>0.56999999999999995</v>
      </c>
      <c r="D907" t="s">
        <v>4</v>
      </c>
      <c r="E907" t="str">
        <f>VLOOKUP(D907,mappings!A:B,2,FALSE)</f>
        <v>Creative</v>
      </c>
      <c r="F907" t="s">
        <v>128</v>
      </c>
    </row>
    <row r="908" spans="1:6" x14ac:dyDescent="0.25">
      <c r="A908" t="s">
        <v>3</v>
      </c>
      <c r="B908" t="s">
        <v>108</v>
      </c>
      <c r="C908">
        <v>0.56999999999999995</v>
      </c>
      <c r="D908" t="s">
        <v>42</v>
      </c>
      <c r="E908" t="str">
        <f>VLOOKUP(D908,mappings!A:B,2,FALSE)</f>
        <v>Healthcare</v>
      </c>
      <c r="F908" t="s">
        <v>128</v>
      </c>
    </row>
    <row r="909" spans="1:6" x14ac:dyDescent="0.25">
      <c r="A909" t="s">
        <v>3</v>
      </c>
      <c r="B909" t="s">
        <v>108</v>
      </c>
      <c r="C909">
        <v>0.56999999999999995</v>
      </c>
      <c r="D909" t="s">
        <v>38</v>
      </c>
      <c r="E909" t="str">
        <f>VLOOKUP(D909,mappings!A:B,2,FALSE)</f>
        <v>Healthcare</v>
      </c>
      <c r="F909" t="s">
        <v>128</v>
      </c>
    </row>
    <row r="910" spans="1:6" x14ac:dyDescent="0.25">
      <c r="A910" t="s">
        <v>3</v>
      </c>
      <c r="B910" t="s">
        <v>108</v>
      </c>
      <c r="C910">
        <v>0.56999999999999995</v>
      </c>
      <c r="D910" t="s">
        <v>24</v>
      </c>
      <c r="E910" t="str">
        <f>VLOOKUP(D910,mappings!A:B,2,FALSE)</f>
        <v>Education</v>
      </c>
      <c r="F910" t="s">
        <v>128</v>
      </c>
    </row>
    <row r="911" spans="1:6" x14ac:dyDescent="0.25">
      <c r="A911" t="s">
        <v>3</v>
      </c>
      <c r="B911" t="s">
        <v>108</v>
      </c>
      <c r="C911">
        <v>0.56999999999999995</v>
      </c>
      <c r="D911" t="s">
        <v>50</v>
      </c>
      <c r="E911" t="str">
        <f>VLOOKUP(D911,mappings!A:B,2,FALSE)</f>
        <v>Education</v>
      </c>
      <c r="F911" t="s">
        <v>128</v>
      </c>
    </row>
    <row r="912" spans="1:6" x14ac:dyDescent="0.25">
      <c r="A912" t="s">
        <v>3</v>
      </c>
      <c r="B912" t="s">
        <v>108</v>
      </c>
      <c r="C912">
        <v>0.56999999999999995</v>
      </c>
      <c r="D912" t="s">
        <v>43</v>
      </c>
      <c r="E912" t="str">
        <f>VLOOKUP(D912,mappings!A:B,2,FALSE)</f>
        <v>Management</v>
      </c>
      <c r="F912" t="s">
        <v>128</v>
      </c>
    </row>
    <row r="913" spans="1:6" x14ac:dyDescent="0.25">
      <c r="A913" t="s">
        <v>3</v>
      </c>
      <c r="B913" t="s">
        <v>108</v>
      </c>
      <c r="C913">
        <v>0.56999999999999995</v>
      </c>
      <c r="D913" t="s">
        <v>46</v>
      </c>
      <c r="E913" t="str">
        <f>VLOOKUP(D913,mappings!A:B,2,FALSE)</f>
        <v>STEM</v>
      </c>
      <c r="F913" t="s">
        <v>128</v>
      </c>
    </row>
    <row r="914" spans="1:6" x14ac:dyDescent="0.25">
      <c r="A914" t="s">
        <v>3</v>
      </c>
      <c r="B914" t="s">
        <v>108</v>
      </c>
      <c r="C914">
        <v>0.56999999999999995</v>
      </c>
      <c r="D914" t="s">
        <v>13</v>
      </c>
      <c r="E914" t="str">
        <f>VLOOKUP(D914,mappings!A:B,2,FALSE)</f>
        <v>Administration</v>
      </c>
      <c r="F914" t="s">
        <v>128</v>
      </c>
    </row>
    <row r="915" spans="1:6" x14ac:dyDescent="0.25">
      <c r="A915" t="s">
        <v>3</v>
      </c>
      <c r="B915" t="s">
        <v>108</v>
      </c>
      <c r="C915">
        <v>0.56999999999999995</v>
      </c>
      <c r="D915" t="s">
        <v>75</v>
      </c>
      <c r="E915" t="str">
        <f>VLOOKUP(D915,mappings!A:B,2,FALSE)</f>
        <v>STEM</v>
      </c>
      <c r="F915" t="s">
        <v>128</v>
      </c>
    </row>
    <row r="916" spans="1:6" x14ac:dyDescent="0.25">
      <c r="A916" t="s">
        <v>3</v>
      </c>
      <c r="B916" t="s">
        <v>108</v>
      </c>
      <c r="C916">
        <v>0.56000000000000005</v>
      </c>
      <c r="D916" t="s">
        <v>98</v>
      </c>
      <c r="E916" t="str">
        <f>VLOOKUP(D916,mappings!A:B,2,FALSE)</f>
        <v>STEM</v>
      </c>
      <c r="F916" t="s">
        <v>128</v>
      </c>
    </row>
    <row r="917" spans="1:6" x14ac:dyDescent="0.25">
      <c r="A917" t="s">
        <v>3</v>
      </c>
      <c r="B917" t="s">
        <v>108</v>
      </c>
      <c r="C917">
        <v>0.56000000000000005</v>
      </c>
      <c r="D917" t="s">
        <v>6</v>
      </c>
      <c r="E917" t="str">
        <f>VLOOKUP(D917,mappings!A:B,2,FALSE)</f>
        <v>Hospitality</v>
      </c>
      <c r="F917" t="s">
        <v>128</v>
      </c>
    </row>
    <row r="918" spans="1:6" x14ac:dyDescent="0.25">
      <c r="A918" t="s">
        <v>3</v>
      </c>
      <c r="B918" t="s">
        <v>108</v>
      </c>
      <c r="C918">
        <v>0.56000000000000005</v>
      </c>
      <c r="D918" t="s">
        <v>35</v>
      </c>
      <c r="E918" t="str">
        <f>VLOOKUP(D918,mappings!A:B,2,FALSE)</f>
        <v>Education</v>
      </c>
      <c r="F918" t="s">
        <v>128</v>
      </c>
    </row>
    <row r="919" spans="1:6" x14ac:dyDescent="0.25">
      <c r="A919" t="s">
        <v>3</v>
      </c>
      <c r="B919" t="s">
        <v>108</v>
      </c>
      <c r="C919">
        <v>0.56000000000000005</v>
      </c>
      <c r="D919" t="s">
        <v>58</v>
      </c>
      <c r="E919" t="str">
        <f>VLOOKUP(D919,mappings!A:B,2,FALSE)</f>
        <v>Education</v>
      </c>
      <c r="F919" t="s">
        <v>128</v>
      </c>
    </row>
    <row r="920" spans="1:6" x14ac:dyDescent="0.25">
      <c r="A920" t="s">
        <v>3</v>
      </c>
      <c r="B920" t="s">
        <v>108</v>
      </c>
      <c r="C920">
        <v>0.56000000000000005</v>
      </c>
      <c r="D920" t="s">
        <v>36</v>
      </c>
      <c r="E920" t="str">
        <f>VLOOKUP(D920,mappings!A:B,2,FALSE)</f>
        <v>Healthcare</v>
      </c>
      <c r="F920" t="s">
        <v>128</v>
      </c>
    </row>
    <row r="921" spans="1:6" x14ac:dyDescent="0.25">
      <c r="A921" t="s">
        <v>3</v>
      </c>
      <c r="B921" t="s">
        <v>108</v>
      </c>
      <c r="C921">
        <v>0.56000000000000005</v>
      </c>
      <c r="D921" t="s">
        <v>25</v>
      </c>
      <c r="E921" t="str">
        <f>VLOOKUP(D921,mappings!A:B,2,FALSE)</f>
        <v>Creative</v>
      </c>
      <c r="F921" t="s">
        <v>128</v>
      </c>
    </row>
    <row r="922" spans="1:6" x14ac:dyDescent="0.25">
      <c r="A922" t="s">
        <v>3</v>
      </c>
      <c r="B922" t="s">
        <v>108</v>
      </c>
      <c r="C922">
        <v>0.56000000000000005</v>
      </c>
      <c r="D922" t="s">
        <v>10</v>
      </c>
      <c r="E922" t="str">
        <f>VLOOKUP(D922,mappings!A:B,2,FALSE)</f>
        <v>Healthcare</v>
      </c>
      <c r="F922" t="s">
        <v>128</v>
      </c>
    </row>
    <row r="923" spans="1:6" x14ac:dyDescent="0.25">
      <c r="A923" t="s">
        <v>3</v>
      </c>
      <c r="B923" t="s">
        <v>108</v>
      </c>
      <c r="C923">
        <v>0.56000000000000005</v>
      </c>
      <c r="D923" t="s">
        <v>23</v>
      </c>
      <c r="E923" t="str">
        <f>VLOOKUP(D923,mappings!A:B,2,FALSE)</f>
        <v>Creative</v>
      </c>
      <c r="F923" t="s">
        <v>128</v>
      </c>
    </row>
    <row r="924" spans="1:6" x14ac:dyDescent="0.25">
      <c r="A924" t="s">
        <v>3</v>
      </c>
      <c r="B924" t="s">
        <v>108</v>
      </c>
      <c r="C924">
        <v>0.56000000000000005</v>
      </c>
      <c r="D924" t="s">
        <v>32</v>
      </c>
      <c r="E924" t="str">
        <f>VLOOKUP(D924,mappings!A:B,2,FALSE)</f>
        <v>Human Resources</v>
      </c>
      <c r="F924" t="s">
        <v>128</v>
      </c>
    </row>
    <row r="925" spans="1:6" x14ac:dyDescent="0.25">
      <c r="A925" t="s">
        <v>3</v>
      </c>
      <c r="B925" t="s">
        <v>108</v>
      </c>
      <c r="C925">
        <v>0.56000000000000005</v>
      </c>
      <c r="D925" t="s">
        <v>9</v>
      </c>
      <c r="E925" t="str">
        <f>VLOOKUP(D925,mappings!A:B,2,FALSE)</f>
        <v>Education</v>
      </c>
      <c r="F925" t="s">
        <v>128</v>
      </c>
    </row>
    <row r="926" spans="1:6" x14ac:dyDescent="0.25">
      <c r="A926" t="s">
        <v>3</v>
      </c>
      <c r="B926" t="s">
        <v>108</v>
      </c>
      <c r="C926">
        <v>0.56000000000000005</v>
      </c>
      <c r="D926" t="s">
        <v>20</v>
      </c>
      <c r="E926" t="str">
        <f>VLOOKUP(D926,mappings!A:B,2,FALSE)</f>
        <v>Hospitality</v>
      </c>
      <c r="F926" t="s">
        <v>128</v>
      </c>
    </row>
    <row r="927" spans="1:6" x14ac:dyDescent="0.25">
      <c r="A927" t="s">
        <v>3</v>
      </c>
      <c r="B927" t="s">
        <v>108</v>
      </c>
      <c r="C927">
        <v>0.56000000000000005</v>
      </c>
      <c r="D927" t="s">
        <v>21</v>
      </c>
      <c r="E927" t="str">
        <f>VLOOKUP(D927,mappings!A:B,2,FALSE)</f>
        <v>Trades</v>
      </c>
      <c r="F927" t="s">
        <v>128</v>
      </c>
    </row>
    <row r="928" spans="1:6" x14ac:dyDescent="0.25">
      <c r="A928" t="s">
        <v>3</v>
      </c>
      <c r="B928" t="s">
        <v>108</v>
      </c>
      <c r="C928">
        <v>0.56000000000000005</v>
      </c>
      <c r="D928" t="s">
        <v>95</v>
      </c>
      <c r="E928" t="str">
        <f>VLOOKUP(D928,mappings!A:B,2,FALSE)</f>
        <v>STEM</v>
      </c>
      <c r="F928" t="s">
        <v>128</v>
      </c>
    </row>
    <row r="929" spans="1:6" x14ac:dyDescent="0.25">
      <c r="A929" t="s">
        <v>3</v>
      </c>
      <c r="B929" t="s">
        <v>108</v>
      </c>
      <c r="C929">
        <v>0.56000000000000005</v>
      </c>
      <c r="D929" t="s">
        <v>15</v>
      </c>
      <c r="E929" t="str">
        <f>VLOOKUP(D929,mappings!A:B,2,FALSE)</f>
        <v>Trades</v>
      </c>
      <c r="F929" t="s">
        <v>128</v>
      </c>
    </row>
    <row r="930" spans="1:6" x14ac:dyDescent="0.25">
      <c r="A930" t="s">
        <v>3</v>
      </c>
      <c r="B930" t="s">
        <v>108</v>
      </c>
      <c r="C930">
        <v>0.56000000000000005</v>
      </c>
      <c r="D930" t="s">
        <v>59</v>
      </c>
      <c r="E930" t="str">
        <f>VLOOKUP(D930,mappings!A:B,2,FALSE)</f>
        <v>Real Estate</v>
      </c>
      <c r="F930" t="s">
        <v>128</v>
      </c>
    </row>
    <row r="931" spans="1:6" x14ac:dyDescent="0.25">
      <c r="A931" t="s">
        <v>3</v>
      </c>
      <c r="B931" t="s">
        <v>108</v>
      </c>
      <c r="C931">
        <v>0.56000000000000005</v>
      </c>
      <c r="D931" t="s">
        <v>26</v>
      </c>
      <c r="E931" t="str">
        <f>VLOOKUP(D931,mappings!A:B,2,FALSE)</f>
        <v>Healthcare</v>
      </c>
      <c r="F931" t="s">
        <v>128</v>
      </c>
    </row>
    <row r="932" spans="1:6" x14ac:dyDescent="0.25">
      <c r="A932" t="s">
        <v>3</v>
      </c>
      <c r="B932" t="s">
        <v>108</v>
      </c>
      <c r="C932">
        <v>0.56000000000000005</v>
      </c>
      <c r="D932" t="s">
        <v>7</v>
      </c>
      <c r="E932" t="str">
        <f>VLOOKUP(D932,mappings!A:B,2,FALSE)</f>
        <v>Legal</v>
      </c>
      <c r="F932" t="s">
        <v>128</v>
      </c>
    </row>
    <row r="933" spans="1:6" x14ac:dyDescent="0.25">
      <c r="A933" t="s">
        <v>3</v>
      </c>
      <c r="B933" t="s">
        <v>108</v>
      </c>
      <c r="C933">
        <v>0.56000000000000005</v>
      </c>
      <c r="D933" t="s">
        <v>48</v>
      </c>
      <c r="E933" t="str">
        <f>VLOOKUP(D933,mappings!A:B,2,FALSE)</f>
        <v>STEM</v>
      </c>
      <c r="F933" t="s">
        <v>128</v>
      </c>
    </row>
    <row r="934" spans="1:6" x14ac:dyDescent="0.25">
      <c r="A934" t="s">
        <v>3</v>
      </c>
      <c r="B934" t="s">
        <v>108</v>
      </c>
      <c r="C934">
        <v>0.56000000000000005</v>
      </c>
      <c r="D934" t="s">
        <v>11</v>
      </c>
      <c r="E934" t="str">
        <f>VLOOKUP(D934,mappings!A:B,2,FALSE)</f>
        <v>Human Resources</v>
      </c>
      <c r="F934" t="s">
        <v>128</v>
      </c>
    </row>
    <row r="935" spans="1:6" x14ac:dyDescent="0.25">
      <c r="A935" t="s">
        <v>3</v>
      </c>
      <c r="B935" t="s">
        <v>108</v>
      </c>
      <c r="C935">
        <v>0.56000000000000005</v>
      </c>
      <c r="D935" t="s">
        <v>85</v>
      </c>
      <c r="E935" t="str">
        <f>VLOOKUP(D935,mappings!A:B,2,FALSE)</f>
        <v>STEM</v>
      </c>
      <c r="F935" t="s">
        <v>128</v>
      </c>
    </row>
    <row r="936" spans="1:6" x14ac:dyDescent="0.25">
      <c r="A936" t="s">
        <v>3</v>
      </c>
      <c r="B936" t="s">
        <v>108</v>
      </c>
      <c r="C936">
        <v>0.56000000000000005</v>
      </c>
      <c r="D936" t="s">
        <v>60</v>
      </c>
      <c r="E936" t="str">
        <f>VLOOKUP(D936,mappings!A:B,2,FALSE)</f>
        <v>Finance</v>
      </c>
      <c r="F936" t="s">
        <v>128</v>
      </c>
    </row>
    <row r="937" spans="1:6" x14ac:dyDescent="0.25">
      <c r="A937" t="s">
        <v>3</v>
      </c>
      <c r="B937" t="s">
        <v>108</v>
      </c>
      <c r="C937">
        <v>0.55000000000000004</v>
      </c>
      <c r="D937" t="s">
        <v>40</v>
      </c>
      <c r="E937" t="str">
        <f>VLOOKUP(D937,mappings!A:B,2,FALSE)</f>
        <v>STEM</v>
      </c>
      <c r="F937" t="s">
        <v>128</v>
      </c>
    </row>
    <row r="938" spans="1:6" x14ac:dyDescent="0.25">
      <c r="A938" t="s">
        <v>3</v>
      </c>
      <c r="B938" t="s">
        <v>108</v>
      </c>
      <c r="C938">
        <v>0.55000000000000004</v>
      </c>
      <c r="D938" t="s">
        <v>57</v>
      </c>
      <c r="E938" t="str">
        <f>VLOOKUP(D938,mappings!A:B,2,FALSE)</f>
        <v>Finance</v>
      </c>
      <c r="F938" t="s">
        <v>128</v>
      </c>
    </row>
    <row r="939" spans="1:6" x14ac:dyDescent="0.25">
      <c r="A939" t="s">
        <v>3</v>
      </c>
      <c r="B939" t="s">
        <v>108</v>
      </c>
      <c r="C939">
        <v>0.55000000000000004</v>
      </c>
      <c r="D939" t="s">
        <v>91</v>
      </c>
      <c r="E939" t="str">
        <f>VLOOKUP(D939,mappings!A:B,2,FALSE)</f>
        <v>Finance</v>
      </c>
      <c r="F939" t="s">
        <v>128</v>
      </c>
    </row>
    <row r="940" spans="1:6" x14ac:dyDescent="0.25">
      <c r="A940" t="s">
        <v>3</v>
      </c>
      <c r="B940" t="s">
        <v>108</v>
      </c>
      <c r="C940">
        <v>0.55000000000000004</v>
      </c>
      <c r="D940" t="s">
        <v>100</v>
      </c>
      <c r="E940" t="str">
        <f>VLOOKUP(D940,mappings!A:B,2,FALSE)</f>
        <v>Management</v>
      </c>
      <c r="F940" t="s">
        <v>128</v>
      </c>
    </row>
    <row r="941" spans="1:6" x14ac:dyDescent="0.25">
      <c r="A941" t="s">
        <v>3</v>
      </c>
      <c r="B941" t="s">
        <v>108</v>
      </c>
      <c r="C941">
        <v>0.55000000000000004</v>
      </c>
      <c r="D941" t="s">
        <v>37</v>
      </c>
      <c r="E941" t="str">
        <f>VLOOKUP(D941,mappings!A:B,2,FALSE)</f>
        <v>Marketing</v>
      </c>
      <c r="F941" t="s">
        <v>128</v>
      </c>
    </row>
    <row r="942" spans="1:6" x14ac:dyDescent="0.25">
      <c r="A942" t="s">
        <v>3</v>
      </c>
      <c r="B942" t="s">
        <v>108</v>
      </c>
      <c r="C942">
        <v>0.55000000000000004</v>
      </c>
      <c r="D942" t="s">
        <v>33</v>
      </c>
      <c r="E942" t="str">
        <f>VLOOKUP(D942,mappings!A:B,2,FALSE)</f>
        <v>Education</v>
      </c>
      <c r="F942" t="s">
        <v>128</v>
      </c>
    </row>
    <row r="943" spans="1:6" x14ac:dyDescent="0.25">
      <c r="A943" t="s">
        <v>3</v>
      </c>
      <c r="B943" t="s">
        <v>108</v>
      </c>
      <c r="C943">
        <v>0.55000000000000004</v>
      </c>
      <c r="D943" t="s">
        <v>45</v>
      </c>
      <c r="E943" t="str">
        <f>VLOOKUP(D943,mappings!A:B,2,FALSE)</f>
        <v>Administration</v>
      </c>
      <c r="F943" t="s">
        <v>128</v>
      </c>
    </row>
    <row r="944" spans="1:6" x14ac:dyDescent="0.25">
      <c r="A944" t="s">
        <v>3</v>
      </c>
      <c r="B944" t="s">
        <v>108</v>
      </c>
      <c r="C944">
        <v>0.55000000000000004</v>
      </c>
      <c r="D944" t="s">
        <v>56</v>
      </c>
      <c r="E944" t="str">
        <f>VLOOKUP(D944,mappings!A:B,2,FALSE)</f>
        <v>STEM</v>
      </c>
      <c r="F944" t="s">
        <v>128</v>
      </c>
    </row>
    <row r="945" spans="1:6" x14ac:dyDescent="0.25">
      <c r="A945" t="s">
        <v>3</v>
      </c>
      <c r="B945" t="s">
        <v>108</v>
      </c>
      <c r="C945">
        <v>0.55000000000000004</v>
      </c>
      <c r="D945" t="s">
        <v>66</v>
      </c>
      <c r="E945" t="str">
        <f>VLOOKUP(D945,mappings!A:B,2,FALSE)</f>
        <v>Healthcare</v>
      </c>
      <c r="F945" t="s">
        <v>128</v>
      </c>
    </row>
    <row r="946" spans="1:6" x14ac:dyDescent="0.25">
      <c r="A946" t="s">
        <v>3</v>
      </c>
      <c r="B946" t="s">
        <v>108</v>
      </c>
      <c r="C946">
        <v>0.55000000000000004</v>
      </c>
      <c r="D946" t="s">
        <v>12</v>
      </c>
      <c r="E946" t="str">
        <f>VLOOKUP(D946,mappings!A:B,2,FALSE)</f>
        <v>STEM</v>
      </c>
      <c r="F946" t="s">
        <v>128</v>
      </c>
    </row>
    <row r="947" spans="1:6" x14ac:dyDescent="0.25">
      <c r="A947" t="s">
        <v>3</v>
      </c>
      <c r="B947" t="s">
        <v>108</v>
      </c>
      <c r="C947">
        <v>0.55000000000000004</v>
      </c>
      <c r="D947" t="s">
        <v>68</v>
      </c>
      <c r="E947" t="str">
        <f>VLOOKUP(D947,mappings!A:B,2,FALSE)</f>
        <v>STEM</v>
      </c>
      <c r="F947" t="s">
        <v>128</v>
      </c>
    </row>
    <row r="948" spans="1:6" x14ac:dyDescent="0.25">
      <c r="A948" t="s">
        <v>3</v>
      </c>
      <c r="B948" t="s">
        <v>108</v>
      </c>
      <c r="C948">
        <v>0.55000000000000004</v>
      </c>
      <c r="D948" t="s">
        <v>52</v>
      </c>
      <c r="E948" t="str">
        <f>VLOOKUP(D948,mappings!A:B,2,FALSE)</f>
        <v>Operations</v>
      </c>
      <c r="F948" t="s">
        <v>128</v>
      </c>
    </row>
    <row r="949" spans="1:6" x14ac:dyDescent="0.25">
      <c r="A949" t="s">
        <v>3</v>
      </c>
      <c r="B949" t="s">
        <v>108</v>
      </c>
      <c r="C949">
        <v>0.55000000000000004</v>
      </c>
      <c r="D949" t="s">
        <v>80</v>
      </c>
      <c r="E949" t="str">
        <f>VLOOKUP(D949,mappings!A:B,2,FALSE)</f>
        <v>Hospitality</v>
      </c>
      <c r="F949" t="s">
        <v>128</v>
      </c>
    </row>
    <row r="950" spans="1:6" x14ac:dyDescent="0.25">
      <c r="A950" t="s">
        <v>3</v>
      </c>
      <c r="B950" t="s">
        <v>108</v>
      </c>
      <c r="C950">
        <v>0.55000000000000004</v>
      </c>
      <c r="D950" t="s">
        <v>76</v>
      </c>
      <c r="E950" t="str">
        <f>VLOOKUP(D950,mappings!A:B,2,FALSE)</f>
        <v>Real Estate</v>
      </c>
      <c r="F950" t="s">
        <v>128</v>
      </c>
    </row>
    <row r="951" spans="1:6" x14ac:dyDescent="0.25">
      <c r="A951" t="s">
        <v>3</v>
      </c>
      <c r="B951" t="s">
        <v>108</v>
      </c>
      <c r="C951">
        <v>0.55000000000000004</v>
      </c>
      <c r="D951" t="s">
        <v>34</v>
      </c>
      <c r="E951" t="str">
        <f>VLOOKUP(D951,mappings!A:B,2,FALSE)</f>
        <v>STEM</v>
      </c>
      <c r="F951" t="s">
        <v>128</v>
      </c>
    </row>
    <row r="952" spans="1:6" x14ac:dyDescent="0.25">
      <c r="A952" t="s">
        <v>3</v>
      </c>
      <c r="B952" t="s">
        <v>108</v>
      </c>
      <c r="C952">
        <v>0.54</v>
      </c>
      <c r="D952" t="s">
        <v>90</v>
      </c>
      <c r="E952" t="str">
        <f>VLOOKUP(D952,mappings!A:B,2,FALSE)</f>
        <v>Marketing</v>
      </c>
      <c r="F952" t="s">
        <v>128</v>
      </c>
    </row>
    <row r="953" spans="1:6" x14ac:dyDescent="0.25">
      <c r="A953" t="s">
        <v>3</v>
      </c>
      <c r="B953" t="s">
        <v>108</v>
      </c>
      <c r="C953">
        <v>0.54</v>
      </c>
      <c r="D953" t="s">
        <v>96</v>
      </c>
      <c r="E953" t="str">
        <f>VLOOKUP(D953,mappings!A:B,2,FALSE)</f>
        <v>Sales</v>
      </c>
      <c r="F953" t="s">
        <v>128</v>
      </c>
    </row>
    <row r="954" spans="1:6" x14ac:dyDescent="0.25">
      <c r="A954" t="s">
        <v>3</v>
      </c>
      <c r="B954" t="s">
        <v>108</v>
      </c>
      <c r="C954">
        <v>0.54</v>
      </c>
      <c r="D954" t="s">
        <v>51</v>
      </c>
      <c r="E954" t="str">
        <f>VLOOKUP(D954,mappings!A:B,2,FALSE)</f>
        <v>Healthcare</v>
      </c>
      <c r="F954" t="s">
        <v>128</v>
      </c>
    </row>
    <row r="955" spans="1:6" x14ac:dyDescent="0.25">
      <c r="A955" t="s">
        <v>3</v>
      </c>
      <c r="B955" t="s">
        <v>108</v>
      </c>
      <c r="C955">
        <v>0.54</v>
      </c>
      <c r="D955" t="s">
        <v>62</v>
      </c>
      <c r="E955" t="str">
        <f>VLOOKUP(D955,mappings!A:B,2,FALSE)</f>
        <v>Marketing</v>
      </c>
      <c r="F955" t="s">
        <v>128</v>
      </c>
    </row>
    <row r="956" spans="1:6" x14ac:dyDescent="0.25">
      <c r="A956" t="s">
        <v>3</v>
      </c>
      <c r="B956" t="s">
        <v>108</v>
      </c>
      <c r="C956">
        <v>0.54</v>
      </c>
      <c r="D956" t="s">
        <v>83</v>
      </c>
      <c r="E956" t="str">
        <f>VLOOKUP(D956,mappings!A:B,2,FALSE)</f>
        <v>Sales</v>
      </c>
      <c r="F956" t="s">
        <v>128</v>
      </c>
    </row>
    <row r="957" spans="1:6" x14ac:dyDescent="0.25">
      <c r="A957" t="s">
        <v>3</v>
      </c>
      <c r="B957" t="s">
        <v>108</v>
      </c>
      <c r="C957">
        <v>0.54</v>
      </c>
      <c r="D957" t="s">
        <v>54</v>
      </c>
      <c r="E957" t="str">
        <f>VLOOKUP(D957,mappings!A:B,2,FALSE)</f>
        <v>Marketing</v>
      </c>
      <c r="F957" t="s">
        <v>128</v>
      </c>
    </row>
    <row r="958" spans="1:6" x14ac:dyDescent="0.25">
      <c r="A958" t="s">
        <v>3</v>
      </c>
      <c r="B958" t="s">
        <v>108</v>
      </c>
      <c r="C958">
        <v>0.54</v>
      </c>
      <c r="D958" t="s">
        <v>72</v>
      </c>
      <c r="E958" t="str">
        <f>VLOOKUP(D958,mappings!A:B,2,FALSE)</f>
        <v>STEM</v>
      </c>
      <c r="F958" t="s">
        <v>128</v>
      </c>
    </row>
    <row r="959" spans="1:6" x14ac:dyDescent="0.25">
      <c r="A959" t="s">
        <v>3</v>
      </c>
      <c r="B959" t="s">
        <v>108</v>
      </c>
      <c r="C959">
        <v>0.54</v>
      </c>
      <c r="D959" t="s">
        <v>30</v>
      </c>
      <c r="E959" t="str">
        <f>VLOOKUP(D959,mappings!A:B,2,FALSE)</f>
        <v>STEM</v>
      </c>
      <c r="F959" t="s">
        <v>128</v>
      </c>
    </row>
    <row r="960" spans="1:6" x14ac:dyDescent="0.25">
      <c r="A960" t="s">
        <v>3</v>
      </c>
      <c r="B960" t="s">
        <v>108</v>
      </c>
      <c r="C960">
        <v>0.54</v>
      </c>
      <c r="D960" t="s">
        <v>74</v>
      </c>
      <c r="E960" t="str">
        <f>VLOOKUP(D960,mappings!A:B,2,FALSE)</f>
        <v>Healthcare</v>
      </c>
      <c r="F960" t="s">
        <v>128</v>
      </c>
    </row>
    <row r="961" spans="1:6" x14ac:dyDescent="0.25">
      <c r="A961" t="s">
        <v>3</v>
      </c>
      <c r="B961" t="s">
        <v>108</v>
      </c>
      <c r="C961">
        <v>0.54</v>
      </c>
      <c r="D961" t="s">
        <v>93</v>
      </c>
      <c r="E961" t="str">
        <f>VLOOKUP(D961,mappings!A:B,2,FALSE)</f>
        <v>Legal</v>
      </c>
      <c r="F961" t="s">
        <v>128</v>
      </c>
    </row>
    <row r="962" spans="1:6" x14ac:dyDescent="0.25">
      <c r="A962" t="s">
        <v>3</v>
      </c>
      <c r="B962" t="s">
        <v>108</v>
      </c>
      <c r="C962">
        <v>0.54</v>
      </c>
      <c r="D962" t="s">
        <v>41</v>
      </c>
      <c r="E962" t="str">
        <f>VLOOKUP(D962,mappings!A:B,2,FALSE)</f>
        <v>Healthcare</v>
      </c>
      <c r="F962" t="s">
        <v>128</v>
      </c>
    </row>
    <row r="963" spans="1:6" x14ac:dyDescent="0.25">
      <c r="A963" t="s">
        <v>3</v>
      </c>
      <c r="B963" t="s">
        <v>108</v>
      </c>
      <c r="C963">
        <v>0.54</v>
      </c>
      <c r="D963" t="s">
        <v>81</v>
      </c>
      <c r="E963" t="str">
        <f>VLOOKUP(D963,mappings!A:B,2,FALSE)</f>
        <v>Legal</v>
      </c>
      <c r="F963" t="s">
        <v>128</v>
      </c>
    </row>
    <row r="964" spans="1:6" x14ac:dyDescent="0.25">
      <c r="A964" t="s">
        <v>3</v>
      </c>
      <c r="B964" t="s">
        <v>108</v>
      </c>
      <c r="C964">
        <v>0.54</v>
      </c>
      <c r="D964" t="s">
        <v>16</v>
      </c>
      <c r="E964" t="str">
        <f>VLOOKUP(D964,mappings!A:B,2,FALSE)</f>
        <v>Finance</v>
      </c>
      <c r="F964" t="s">
        <v>128</v>
      </c>
    </row>
    <row r="965" spans="1:6" x14ac:dyDescent="0.25">
      <c r="A965" t="s">
        <v>3</v>
      </c>
      <c r="B965" t="s">
        <v>108</v>
      </c>
      <c r="C965">
        <v>0.54</v>
      </c>
      <c r="D965" t="s">
        <v>103</v>
      </c>
      <c r="E965" t="str">
        <f>VLOOKUP(D965,mappings!A:B,2,FALSE)</f>
        <v>Healthcare</v>
      </c>
      <c r="F965" t="s">
        <v>128</v>
      </c>
    </row>
    <row r="966" spans="1:6" x14ac:dyDescent="0.25">
      <c r="A966" t="s">
        <v>3</v>
      </c>
      <c r="B966" t="s">
        <v>108</v>
      </c>
      <c r="C966">
        <v>0.54</v>
      </c>
      <c r="D966" t="s">
        <v>67</v>
      </c>
      <c r="E966" t="str">
        <f>VLOOKUP(D966,mappings!A:B,2,FALSE)</f>
        <v>Finance</v>
      </c>
      <c r="F966" t="s">
        <v>128</v>
      </c>
    </row>
    <row r="967" spans="1:6" x14ac:dyDescent="0.25">
      <c r="A967" t="s">
        <v>3</v>
      </c>
      <c r="B967" t="s">
        <v>108</v>
      </c>
      <c r="C967">
        <v>0.54</v>
      </c>
      <c r="D967" t="s">
        <v>77</v>
      </c>
      <c r="E967" t="str">
        <f>VLOOKUP(D967,mappings!A:B,2,FALSE)</f>
        <v>Legal</v>
      </c>
      <c r="F967" t="s">
        <v>128</v>
      </c>
    </row>
    <row r="968" spans="1:6" x14ac:dyDescent="0.25">
      <c r="A968" t="s">
        <v>3</v>
      </c>
      <c r="B968" t="s">
        <v>108</v>
      </c>
      <c r="C968">
        <v>0.54</v>
      </c>
      <c r="D968" t="s">
        <v>8</v>
      </c>
      <c r="E968" t="str">
        <f>VLOOKUP(D968,mappings!A:B,2,FALSE)</f>
        <v>Healthcare</v>
      </c>
      <c r="F968" t="s">
        <v>128</v>
      </c>
    </row>
    <row r="969" spans="1:6" x14ac:dyDescent="0.25">
      <c r="A969" t="s">
        <v>3</v>
      </c>
      <c r="B969" t="s">
        <v>108</v>
      </c>
      <c r="C969">
        <v>0.54</v>
      </c>
      <c r="D969" t="s">
        <v>31</v>
      </c>
      <c r="E969" t="str">
        <f>VLOOKUP(D969,mappings!A:B,2,FALSE)</f>
        <v>STEM</v>
      </c>
      <c r="F969" t="s">
        <v>128</v>
      </c>
    </row>
    <row r="970" spans="1:6" x14ac:dyDescent="0.25">
      <c r="A970" t="s">
        <v>3</v>
      </c>
      <c r="B970" t="s">
        <v>108</v>
      </c>
      <c r="C970">
        <v>0.54</v>
      </c>
      <c r="D970" t="s">
        <v>71</v>
      </c>
      <c r="E970" t="str">
        <f>VLOOKUP(D970,mappings!A:B,2,FALSE)</f>
        <v>STEM</v>
      </c>
      <c r="F970" t="s">
        <v>128</v>
      </c>
    </row>
    <row r="971" spans="1:6" x14ac:dyDescent="0.25">
      <c r="A971" t="s">
        <v>3</v>
      </c>
      <c r="B971" t="s">
        <v>108</v>
      </c>
      <c r="C971">
        <v>0.54</v>
      </c>
      <c r="D971" t="s">
        <v>102</v>
      </c>
      <c r="E971" t="str">
        <f>VLOOKUP(D971,mappings!A:B,2,FALSE)</f>
        <v>Operations</v>
      </c>
      <c r="F971" t="s">
        <v>128</v>
      </c>
    </row>
    <row r="972" spans="1:6" x14ac:dyDescent="0.25">
      <c r="A972" t="s">
        <v>3</v>
      </c>
      <c r="B972" t="s">
        <v>108</v>
      </c>
      <c r="C972">
        <v>0.54</v>
      </c>
      <c r="D972" t="s">
        <v>19</v>
      </c>
      <c r="E972" t="str">
        <f>VLOOKUP(D972,mappings!A:B,2,FALSE)</f>
        <v>Finance</v>
      </c>
      <c r="F972" t="s">
        <v>128</v>
      </c>
    </row>
    <row r="973" spans="1:6" x14ac:dyDescent="0.25">
      <c r="A973" t="s">
        <v>3</v>
      </c>
      <c r="B973" t="s">
        <v>108</v>
      </c>
      <c r="C973">
        <v>0.54</v>
      </c>
      <c r="D973" t="s">
        <v>63</v>
      </c>
      <c r="E973" t="str">
        <f>VLOOKUP(D973,mappings!A:B,2,FALSE)</f>
        <v>Finance</v>
      </c>
      <c r="F973" t="s">
        <v>128</v>
      </c>
    </row>
    <row r="974" spans="1:6" x14ac:dyDescent="0.25">
      <c r="A974" t="s">
        <v>3</v>
      </c>
      <c r="B974" t="s">
        <v>108</v>
      </c>
      <c r="C974">
        <v>0.54</v>
      </c>
      <c r="D974" t="s">
        <v>82</v>
      </c>
      <c r="E974" t="str">
        <f>VLOOKUP(D974,mappings!A:B,2,FALSE)</f>
        <v>STEM</v>
      </c>
      <c r="F974" t="s">
        <v>128</v>
      </c>
    </row>
    <row r="975" spans="1:6" x14ac:dyDescent="0.25">
      <c r="A975" t="s">
        <v>3</v>
      </c>
      <c r="B975" t="s">
        <v>108</v>
      </c>
      <c r="C975">
        <v>0.54</v>
      </c>
      <c r="D975" t="s">
        <v>18</v>
      </c>
      <c r="E975" t="str">
        <f>VLOOKUP(D975,mappings!A:B,2,FALSE)</f>
        <v>Finance</v>
      </c>
      <c r="F975" t="s">
        <v>128</v>
      </c>
    </row>
    <row r="976" spans="1:6" x14ac:dyDescent="0.25">
      <c r="A976" t="s">
        <v>3</v>
      </c>
      <c r="B976" t="s">
        <v>108</v>
      </c>
      <c r="C976">
        <v>0.54</v>
      </c>
      <c r="D976" t="s">
        <v>49</v>
      </c>
      <c r="E976" t="str">
        <f>VLOOKUP(D976,mappings!A:B,2,FALSE)</f>
        <v>Healthcare</v>
      </c>
      <c r="F976" t="s">
        <v>128</v>
      </c>
    </row>
    <row r="977" spans="1:6" x14ac:dyDescent="0.25">
      <c r="A977" t="s">
        <v>3</v>
      </c>
      <c r="B977" t="s">
        <v>108</v>
      </c>
      <c r="C977">
        <v>0.54</v>
      </c>
      <c r="D977" t="s">
        <v>94</v>
      </c>
      <c r="E977" t="str">
        <f>VLOOKUP(D977,mappings!A:B,2,FALSE)</f>
        <v>Management</v>
      </c>
      <c r="F977" t="s">
        <v>128</v>
      </c>
    </row>
    <row r="978" spans="1:6" x14ac:dyDescent="0.25">
      <c r="A978" t="s">
        <v>3</v>
      </c>
      <c r="B978" t="s">
        <v>108</v>
      </c>
      <c r="C978">
        <v>0.54</v>
      </c>
      <c r="D978" t="s">
        <v>61</v>
      </c>
      <c r="E978" t="str">
        <f>VLOOKUP(D978,mappings!A:B,2,FALSE)</f>
        <v>STEM</v>
      </c>
      <c r="F978" t="s">
        <v>128</v>
      </c>
    </row>
    <row r="979" spans="1:6" x14ac:dyDescent="0.25">
      <c r="A979" t="s">
        <v>3</v>
      </c>
      <c r="B979" t="s">
        <v>108</v>
      </c>
      <c r="C979">
        <v>0.53</v>
      </c>
      <c r="D979" t="s">
        <v>79</v>
      </c>
      <c r="E979" t="str">
        <f>VLOOKUP(D979,mappings!A:B,2,FALSE)</f>
        <v>Marketing</v>
      </c>
      <c r="F979" t="s">
        <v>128</v>
      </c>
    </row>
    <row r="980" spans="1:6" x14ac:dyDescent="0.25">
      <c r="A980" t="s">
        <v>3</v>
      </c>
      <c r="B980" t="s">
        <v>108</v>
      </c>
      <c r="C980">
        <v>0.53</v>
      </c>
      <c r="D980" t="s">
        <v>29</v>
      </c>
      <c r="E980" t="str">
        <f>VLOOKUP(D980,mappings!A:B,2,FALSE)</f>
        <v>Creative</v>
      </c>
      <c r="F980" t="s">
        <v>128</v>
      </c>
    </row>
    <row r="981" spans="1:6" x14ac:dyDescent="0.25">
      <c r="A981" t="s">
        <v>3</v>
      </c>
      <c r="B981" t="s">
        <v>108</v>
      </c>
      <c r="C981">
        <v>0.53</v>
      </c>
      <c r="D981" t="s">
        <v>89</v>
      </c>
      <c r="E981" t="str">
        <f>VLOOKUP(D981,mappings!A:B,2,FALSE)</f>
        <v>Finance</v>
      </c>
      <c r="F981" t="s">
        <v>128</v>
      </c>
    </row>
    <row r="982" spans="1:6" x14ac:dyDescent="0.25">
      <c r="A982" t="s">
        <v>3</v>
      </c>
      <c r="B982" t="s">
        <v>108</v>
      </c>
      <c r="C982">
        <v>0.53</v>
      </c>
      <c r="D982" t="s">
        <v>27</v>
      </c>
      <c r="E982" t="str">
        <f>VLOOKUP(D982,mappings!A:B,2,FALSE)</f>
        <v>Management</v>
      </c>
      <c r="F982" t="s">
        <v>128</v>
      </c>
    </row>
    <row r="983" spans="1:6" x14ac:dyDescent="0.25">
      <c r="A983" t="s">
        <v>3</v>
      </c>
      <c r="B983" t="s">
        <v>108</v>
      </c>
      <c r="C983">
        <v>0.53</v>
      </c>
      <c r="D983" t="s">
        <v>99</v>
      </c>
      <c r="E983" t="str">
        <f>VLOOKUP(D983,mappings!A:B,2,FALSE)</f>
        <v>Operations</v>
      </c>
      <c r="F983" t="s">
        <v>128</v>
      </c>
    </row>
    <row r="984" spans="1:6" x14ac:dyDescent="0.25">
      <c r="A984" t="s">
        <v>3</v>
      </c>
      <c r="B984" t="s">
        <v>108</v>
      </c>
      <c r="C984">
        <v>0.53</v>
      </c>
      <c r="D984" t="s">
        <v>97</v>
      </c>
      <c r="E984" t="str">
        <f>VLOOKUP(D984,mappings!A:B,2,FALSE)</f>
        <v>STEM</v>
      </c>
      <c r="F984" t="s">
        <v>128</v>
      </c>
    </row>
    <row r="985" spans="1:6" x14ac:dyDescent="0.25">
      <c r="A985" t="s">
        <v>3</v>
      </c>
      <c r="B985" t="s">
        <v>108</v>
      </c>
      <c r="C985">
        <v>0.53</v>
      </c>
      <c r="D985" t="s">
        <v>84</v>
      </c>
      <c r="E985" t="str">
        <f>VLOOKUP(D985,mappings!A:B,2,FALSE)</f>
        <v>Hospitality</v>
      </c>
      <c r="F985" t="s">
        <v>128</v>
      </c>
    </row>
    <row r="986" spans="1:6" x14ac:dyDescent="0.25">
      <c r="A986" t="s">
        <v>3</v>
      </c>
      <c r="B986" t="s">
        <v>108</v>
      </c>
      <c r="C986">
        <v>0.53</v>
      </c>
      <c r="D986" t="s">
        <v>86</v>
      </c>
      <c r="E986" t="str">
        <f>VLOOKUP(D986,mappings!A:B,2,FALSE)</f>
        <v>Finance</v>
      </c>
      <c r="F986" t="s">
        <v>128</v>
      </c>
    </row>
    <row r="987" spans="1:6" x14ac:dyDescent="0.25">
      <c r="A987" t="s">
        <v>3</v>
      </c>
      <c r="B987" t="s">
        <v>108</v>
      </c>
      <c r="C987">
        <v>0.53</v>
      </c>
      <c r="D987" t="s">
        <v>65</v>
      </c>
      <c r="E987" t="str">
        <f>VLOOKUP(D987,mappings!A:B,2,FALSE)</f>
        <v>Management</v>
      </c>
      <c r="F987" t="s">
        <v>128</v>
      </c>
    </row>
    <row r="988" spans="1:6" x14ac:dyDescent="0.25">
      <c r="A988" t="s">
        <v>3</v>
      </c>
      <c r="B988" t="s">
        <v>108</v>
      </c>
      <c r="C988">
        <v>0.53</v>
      </c>
      <c r="D988" t="s">
        <v>92</v>
      </c>
      <c r="E988" t="str">
        <f>VLOOKUP(D988,mappings!A:B,2,FALSE)</f>
        <v>Management</v>
      </c>
      <c r="F988" t="s">
        <v>128</v>
      </c>
    </row>
    <row r="989" spans="1:6" x14ac:dyDescent="0.25">
      <c r="A989" t="s">
        <v>3</v>
      </c>
      <c r="B989" t="s">
        <v>108</v>
      </c>
      <c r="C989">
        <v>0.53</v>
      </c>
      <c r="D989" t="s">
        <v>64</v>
      </c>
      <c r="E989" t="str">
        <f>VLOOKUP(D989,mappings!A:B,2,FALSE)</f>
        <v>STEM</v>
      </c>
      <c r="F989" t="s">
        <v>128</v>
      </c>
    </row>
    <row r="990" spans="1:6" x14ac:dyDescent="0.25">
      <c r="A990" t="s">
        <v>3</v>
      </c>
      <c r="B990" t="s">
        <v>108</v>
      </c>
      <c r="C990">
        <v>0.53</v>
      </c>
      <c r="D990" t="s">
        <v>87</v>
      </c>
      <c r="E990" t="str">
        <f>VLOOKUP(D990,mappings!A:B,2,FALSE)</f>
        <v>Trades</v>
      </c>
      <c r="F990" t="s">
        <v>128</v>
      </c>
    </row>
    <row r="991" spans="1:6" x14ac:dyDescent="0.25">
      <c r="A991" t="s">
        <v>3</v>
      </c>
      <c r="B991" t="s">
        <v>108</v>
      </c>
      <c r="C991">
        <v>0.53</v>
      </c>
      <c r="D991" t="s">
        <v>28</v>
      </c>
      <c r="E991" t="str">
        <f>VLOOKUP(D991,mappings!A:B,2,FALSE)</f>
        <v>STEM</v>
      </c>
      <c r="F991" t="s">
        <v>128</v>
      </c>
    </row>
    <row r="992" spans="1:6" x14ac:dyDescent="0.25">
      <c r="A992" t="s">
        <v>3</v>
      </c>
      <c r="B992" t="s">
        <v>108</v>
      </c>
      <c r="C992">
        <v>0.52</v>
      </c>
      <c r="D992" t="s">
        <v>53</v>
      </c>
      <c r="E992" t="str">
        <f>VLOOKUP(D992,mappings!A:B,2,FALSE)</f>
        <v>Healthcare</v>
      </c>
      <c r="F992" t="s">
        <v>128</v>
      </c>
    </row>
    <row r="993" spans="1:6" x14ac:dyDescent="0.25">
      <c r="A993" t="s">
        <v>3</v>
      </c>
      <c r="B993" t="s">
        <v>108</v>
      </c>
      <c r="C993">
        <v>0.52</v>
      </c>
      <c r="D993" t="s">
        <v>44</v>
      </c>
      <c r="E993" t="str">
        <f>VLOOKUP(D993,mappings!A:B,2,FALSE)</f>
        <v>Healthcare</v>
      </c>
      <c r="F993" t="s">
        <v>128</v>
      </c>
    </row>
    <row r="994" spans="1:6" x14ac:dyDescent="0.25">
      <c r="A994" t="s">
        <v>3</v>
      </c>
      <c r="B994" t="s">
        <v>108</v>
      </c>
      <c r="C994">
        <v>0.52</v>
      </c>
      <c r="D994" t="s">
        <v>70</v>
      </c>
      <c r="E994" t="str">
        <f>VLOOKUP(D994,mappings!A:B,2,FALSE)</f>
        <v>Operations</v>
      </c>
      <c r="F994" t="s">
        <v>128</v>
      </c>
    </row>
    <row r="995" spans="1:6" x14ac:dyDescent="0.25">
      <c r="A995" t="s">
        <v>3</v>
      </c>
      <c r="B995" t="s">
        <v>108</v>
      </c>
      <c r="C995">
        <v>0.52</v>
      </c>
      <c r="D995" t="s">
        <v>22</v>
      </c>
      <c r="E995" t="str">
        <f>VLOOKUP(D995,mappings!A:B,2,FALSE)</f>
        <v>Management</v>
      </c>
      <c r="F995" t="s">
        <v>128</v>
      </c>
    </row>
    <row r="996" spans="1:6" x14ac:dyDescent="0.25">
      <c r="A996" t="s">
        <v>3</v>
      </c>
      <c r="B996" t="s">
        <v>108</v>
      </c>
      <c r="C996">
        <v>0.52</v>
      </c>
      <c r="D996" t="s">
        <v>69</v>
      </c>
      <c r="E996" t="str">
        <f>VLOOKUP(D996,mappings!A:B,2,FALSE)</f>
        <v>Hospitality</v>
      </c>
      <c r="F996" t="s">
        <v>128</v>
      </c>
    </row>
    <row r="997" spans="1:6" x14ac:dyDescent="0.25">
      <c r="A997" t="s">
        <v>3</v>
      </c>
      <c r="B997" t="s">
        <v>108</v>
      </c>
      <c r="C997">
        <v>0.52</v>
      </c>
      <c r="D997" t="s">
        <v>88</v>
      </c>
      <c r="E997" t="str">
        <f>VLOOKUP(D997,mappings!A:B,2,FALSE)</f>
        <v>Healthcare</v>
      </c>
      <c r="F997" t="s">
        <v>128</v>
      </c>
    </row>
    <row r="998" spans="1:6" x14ac:dyDescent="0.25">
      <c r="A998" t="s">
        <v>3</v>
      </c>
      <c r="B998" t="s">
        <v>108</v>
      </c>
      <c r="C998">
        <v>0.52</v>
      </c>
      <c r="D998" t="s">
        <v>55</v>
      </c>
      <c r="E998" t="str">
        <f>VLOOKUP(D998,mappings!A:B,2,FALSE)</f>
        <v>Human Resources</v>
      </c>
      <c r="F998" t="s">
        <v>128</v>
      </c>
    </row>
    <row r="999" spans="1:6" x14ac:dyDescent="0.25">
      <c r="A999" t="s">
        <v>3</v>
      </c>
      <c r="B999" t="s">
        <v>108</v>
      </c>
      <c r="C999">
        <v>0.52</v>
      </c>
      <c r="D999" t="s">
        <v>78</v>
      </c>
      <c r="E999" t="str">
        <f>VLOOKUP(D999,mappings!A:B,2,FALSE)</f>
        <v>Hospitality</v>
      </c>
      <c r="F999" t="s">
        <v>128</v>
      </c>
    </row>
    <row r="1000" spans="1:6" x14ac:dyDescent="0.25">
      <c r="A1000" t="s">
        <v>3</v>
      </c>
      <c r="B1000" t="s">
        <v>108</v>
      </c>
      <c r="C1000">
        <v>0.51</v>
      </c>
      <c r="D1000" t="s">
        <v>101</v>
      </c>
      <c r="E1000" t="str">
        <f>VLOOKUP(D1000,mappings!A:B,2,FALSE)</f>
        <v>Healthcare</v>
      </c>
      <c r="F1000" t="s">
        <v>128</v>
      </c>
    </row>
    <row r="1001" spans="1:6" x14ac:dyDescent="0.25">
      <c r="A1001" t="s">
        <v>3</v>
      </c>
      <c r="B1001" t="s">
        <v>108</v>
      </c>
      <c r="C1001">
        <v>0.5</v>
      </c>
      <c r="D1001" t="s">
        <v>73</v>
      </c>
      <c r="E1001" t="str">
        <f>VLOOKUP(D1001,mappings!A:B,2,FALSE)</f>
        <v>Finance</v>
      </c>
      <c r="F1001" t="s">
        <v>128</v>
      </c>
    </row>
    <row r="1002" spans="1:6" x14ac:dyDescent="0.25">
      <c r="A1002" t="s">
        <v>3</v>
      </c>
      <c r="B1002" t="s">
        <v>105</v>
      </c>
      <c r="C1002">
        <v>0.63</v>
      </c>
      <c r="D1002" t="s">
        <v>5</v>
      </c>
      <c r="E1002" t="str">
        <f>VLOOKUP(D1002,mappings!A:B,2,FALSE)</f>
        <v>Hospitality</v>
      </c>
      <c r="F1002" t="s">
        <v>128</v>
      </c>
    </row>
    <row r="1003" spans="1:6" x14ac:dyDescent="0.25">
      <c r="A1003" t="s">
        <v>3</v>
      </c>
      <c r="B1003" t="s">
        <v>105</v>
      </c>
      <c r="C1003">
        <v>0.59</v>
      </c>
      <c r="D1003" t="s">
        <v>24</v>
      </c>
      <c r="E1003" t="str">
        <f>VLOOKUP(D1003,mappings!A:B,2,FALSE)</f>
        <v>Education</v>
      </c>
      <c r="F1003" t="s">
        <v>128</v>
      </c>
    </row>
    <row r="1004" spans="1:6" x14ac:dyDescent="0.25">
      <c r="A1004" t="s">
        <v>3</v>
      </c>
      <c r="B1004" t="s">
        <v>105</v>
      </c>
      <c r="C1004">
        <v>0.59</v>
      </c>
      <c r="D1004" t="s">
        <v>42</v>
      </c>
      <c r="E1004" t="str">
        <f>VLOOKUP(D1004,mappings!A:B,2,FALSE)</f>
        <v>Healthcare</v>
      </c>
      <c r="F1004" t="s">
        <v>128</v>
      </c>
    </row>
    <row r="1005" spans="1:6" x14ac:dyDescent="0.25">
      <c r="A1005" t="s">
        <v>3</v>
      </c>
      <c r="B1005" t="s">
        <v>105</v>
      </c>
      <c r="C1005">
        <v>0.59</v>
      </c>
      <c r="D1005" t="s">
        <v>25</v>
      </c>
      <c r="E1005" t="str">
        <f>VLOOKUP(D1005,mappings!A:B,2,FALSE)</f>
        <v>Creative</v>
      </c>
      <c r="F1005" t="s">
        <v>128</v>
      </c>
    </row>
    <row r="1006" spans="1:6" x14ac:dyDescent="0.25">
      <c r="A1006" t="s">
        <v>3</v>
      </c>
      <c r="B1006" t="s">
        <v>105</v>
      </c>
      <c r="C1006">
        <v>0.57999999999999996</v>
      </c>
      <c r="D1006" t="s">
        <v>35</v>
      </c>
      <c r="E1006" t="str">
        <f>VLOOKUP(D1006,mappings!A:B,2,FALSE)</f>
        <v>Education</v>
      </c>
      <c r="F1006" t="s">
        <v>128</v>
      </c>
    </row>
    <row r="1007" spans="1:6" x14ac:dyDescent="0.25">
      <c r="A1007" t="s">
        <v>3</v>
      </c>
      <c r="B1007" t="s">
        <v>105</v>
      </c>
      <c r="C1007">
        <v>0.57999999999999996</v>
      </c>
      <c r="D1007" t="s">
        <v>21</v>
      </c>
      <c r="E1007" t="str">
        <f>VLOOKUP(D1007,mappings!A:B,2,FALSE)</f>
        <v>Trades</v>
      </c>
      <c r="F1007" t="s">
        <v>128</v>
      </c>
    </row>
    <row r="1008" spans="1:6" x14ac:dyDescent="0.25">
      <c r="A1008" t="s">
        <v>3</v>
      </c>
      <c r="B1008" t="s">
        <v>105</v>
      </c>
      <c r="C1008">
        <v>0.57999999999999996</v>
      </c>
      <c r="D1008" t="s">
        <v>32</v>
      </c>
      <c r="E1008" t="str">
        <f>VLOOKUP(D1008,mappings!A:B,2,FALSE)</f>
        <v>Human Resources</v>
      </c>
      <c r="F1008" t="s">
        <v>128</v>
      </c>
    </row>
    <row r="1009" spans="1:6" x14ac:dyDescent="0.25">
      <c r="A1009" t="s">
        <v>3</v>
      </c>
      <c r="B1009" t="s">
        <v>105</v>
      </c>
      <c r="C1009">
        <v>0.57999999999999996</v>
      </c>
      <c r="D1009" t="s">
        <v>4</v>
      </c>
      <c r="E1009" t="str">
        <f>VLOOKUP(D1009,mappings!A:B,2,FALSE)</f>
        <v>Creative</v>
      </c>
      <c r="F1009" t="s">
        <v>128</v>
      </c>
    </row>
    <row r="1010" spans="1:6" x14ac:dyDescent="0.25">
      <c r="A1010" t="s">
        <v>3</v>
      </c>
      <c r="B1010" t="s">
        <v>105</v>
      </c>
      <c r="C1010">
        <v>0.57999999999999996</v>
      </c>
      <c r="D1010" t="s">
        <v>45</v>
      </c>
      <c r="E1010" t="str">
        <f>VLOOKUP(D1010,mappings!A:B,2,FALSE)</f>
        <v>Administration</v>
      </c>
      <c r="F1010" t="s">
        <v>128</v>
      </c>
    </row>
    <row r="1011" spans="1:6" x14ac:dyDescent="0.25">
      <c r="A1011" t="s">
        <v>3</v>
      </c>
      <c r="B1011" t="s">
        <v>105</v>
      </c>
      <c r="C1011">
        <v>0.57999999999999996</v>
      </c>
      <c r="D1011" t="s">
        <v>38</v>
      </c>
      <c r="E1011" t="str">
        <f>VLOOKUP(D1011,mappings!A:B,2,FALSE)</f>
        <v>Healthcare</v>
      </c>
      <c r="F1011" t="s">
        <v>128</v>
      </c>
    </row>
    <row r="1012" spans="1:6" x14ac:dyDescent="0.25">
      <c r="A1012" t="s">
        <v>3</v>
      </c>
      <c r="B1012" t="s">
        <v>105</v>
      </c>
      <c r="C1012">
        <v>0.57999999999999996</v>
      </c>
      <c r="D1012" t="s">
        <v>17</v>
      </c>
      <c r="E1012" t="str">
        <f>VLOOKUP(D1012,mappings!A:B,2,FALSE)</f>
        <v>Sales</v>
      </c>
      <c r="F1012" t="s">
        <v>128</v>
      </c>
    </row>
    <row r="1013" spans="1:6" x14ac:dyDescent="0.25">
      <c r="A1013" t="s">
        <v>3</v>
      </c>
      <c r="B1013" t="s">
        <v>105</v>
      </c>
      <c r="C1013">
        <v>0.57999999999999996</v>
      </c>
      <c r="D1013" t="s">
        <v>26</v>
      </c>
      <c r="E1013" t="str">
        <f>VLOOKUP(D1013,mappings!A:B,2,FALSE)</f>
        <v>Healthcare</v>
      </c>
      <c r="F1013" t="s">
        <v>128</v>
      </c>
    </row>
    <row r="1014" spans="1:6" x14ac:dyDescent="0.25">
      <c r="A1014" t="s">
        <v>3</v>
      </c>
      <c r="B1014" t="s">
        <v>105</v>
      </c>
      <c r="C1014">
        <v>0.57999999999999996</v>
      </c>
      <c r="D1014" t="s">
        <v>49</v>
      </c>
      <c r="E1014" t="str">
        <f>VLOOKUP(D1014,mappings!A:B,2,FALSE)</f>
        <v>Healthcare</v>
      </c>
      <c r="F1014" t="s">
        <v>128</v>
      </c>
    </row>
    <row r="1015" spans="1:6" x14ac:dyDescent="0.25">
      <c r="A1015" t="s">
        <v>3</v>
      </c>
      <c r="B1015" t="s">
        <v>105</v>
      </c>
      <c r="C1015">
        <v>0.57999999999999996</v>
      </c>
      <c r="D1015" t="s">
        <v>59</v>
      </c>
      <c r="E1015" t="str">
        <f>VLOOKUP(D1015,mappings!A:B,2,FALSE)</f>
        <v>Real Estate</v>
      </c>
      <c r="F1015" t="s">
        <v>128</v>
      </c>
    </row>
    <row r="1016" spans="1:6" x14ac:dyDescent="0.25">
      <c r="A1016" t="s">
        <v>3</v>
      </c>
      <c r="B1016" t="s">
        <v>105</v>
      </c>
      <c r="C1016">
        <v>0.57999999999999996</v>
      </c>
      <c r="D1016" t="s">
        <v>40</v>
      </c>
      <c r="E1016" t="str">
        <f>VLOOKUP(D1016,mappings!A:B,2,FALSE)</f>
        <v>STEM</v>
      </c>
      <c r="F1016" t="s">
        <v>128</v>
      </c>
    </row>
    <row r="1017" spans="1:6" x14ac:dyDescent="0.25">
      <c r="A1017" t="s">
        <v>3</v>
      </c>
      <c r="B1017" t="s">
        <v>105</v>
      </c>
      <c r="C1017">
        <v>0.56999999999999995</v>
      </c>
      <c r="D1017" t="s">
        <v>15</v>
      </c>
      <c r="E1017" t="str">
        <f>VLOOKUP(D1017,mappings!A:B,2,FALSE)</f>
        <v>Trades</v>
      </c>
      <c r="F1017" t="s">
        <v>128</v>
      </c>
    </row>
    <row r="1018" spans="1:6" x14ac:dyDescent="0.25">
      <c r="A1018" t="s">
        <v>3</v>
      </c>
      <c r="B1018" t="s">
        <v>105</v>
      </c>
      <c r="C1018">
        <v>0.56999999999999995</v>
      </c>
      <c r="D1018" t="s">
        <v>46</v>
      </c>
      <c r="E1018" t="str">
        <f>VLOOKUP(D1018,mappings!A:B,2,FALSE)</f>
        <v>STEM</v>
      </c>
      <c r="F1018" t="s">
        <v>128</v>
      </c>
    </row>
    <row r="1019" spans="1:6" x14ac:dyDescent="0.25">
      <c r="A1019" t="s">
        <v>3</v>
      </c>
      <c r="B1019" t="s">
        <v>105</v>
      </c>
      <c r="C1019">
        <v>0.56999999999999995</v>
      </c>
      <c r="D1019" t="s">
        <v>91</v>
      </c>
      <c r="E1019" t="str">
        <f>VLOOKUP(D1019,mappings!A:B,2,FALSE)</f>
        <v>Finance</v>
      </c>
      <c r="F1019" t="s">
        <v>128</v>
      </c>
    </row>
    <row r="1020" spans="1:6" x14ac:dyDescent="0.25">
      <c r="A1020" t="s">
        <v>3</v>
      </c>
      <c r="B1020" t="s">
        <v>105</v>
      </c>
      <c r="C1020">
        <v>0.56999999999999995</v>
      </c>
      <c r="D1020" t="s">
        <v>52</v>
      </c>
      <c r="E1020" t="str">
        <f>VLOOKUP(D1020,mappings!A:B,2,FALSE)</f>
        <v>Operations</v>
      </c>
      <c r="F1020" t="s">
        <v>128</v>
      </c>
    </row>
    <row r="1021" spans="1:6" x14ac:dyDescent="0.25">
      <c r="A1021" t="s">
        <v>3</v>
      </c>
      <c r="B1021" t="s">
        <v>105</v>
      </c>
      <c r="C1021">
        <v>0.56999999999999995</v>
      </c>
      <c r="D1021" t="s">
        <v>10</v>
      </c>
      <c r="E1021" t="str">
        <f>VLOOKUP(D1021,mappings!A:B,2,FALSE)</f>
        <v>Healthcare</v>
      </c>
      <c r="F1021" t="s">
        <v>128</v>
      </c>
    </row>
    <row r="1022" spans="1:6" x14ac:dyDescent="0.25">
      <c r="A1022" t="s">
        <v>3</v>
      </c>
      <c r="B1022" t="s">
        <v>105</v>
      </c>
      <c r="C1022">
        <v>0.56999999999999995</v>
      </c>
      <c r="D1022" t="s">
        <v>37</v>
      </c>
      <c r="E1022" t="str">
        <f>VLOOKUP(D1022,mappings!A:B,2,FALSE)</f>
        <v>Marketing</v>
      </c>
      <c r="F1022" t="s">
        <v>128</v>
      </c>
    </row>
    <row r="1023" spans="1:6" x14ac:dyDescent="0.25">
      <c r="A1023" t="s">
        <v>3</v>
      </c>
      <c r="B1023" t="s">
        <v>105</v>
      </c>
      <c r="C1023">
        <v>0.56999999999999995</v>
      </c>
      <c r="D1023" t="s">
        <v>57</v>
      </c>
      <c r="E1023" t="str">
        <f>VLOOKUP(D1023,mappings!A:B,2,FALSE)</f>
        <v>Finance</v>
      </c>
      <c r="F1023" t="s">
        <v>128</v>
      </c>
    </row>
    <row r="1024" spans="1:6" x14ac:dyDescent="0.25">
      <c r="A1024" t="s">
        <v>3</v>
      </c>
      <c r="B1024" t="s">
        <v>105</v>
      </c>
      <c r="C1024">
        <v>0.56999999999999995</v>
      </c>
      <c r="D1024" t="s">
        <v>63</v>
      </c>
      <c r="E1024" t="str">
        <f>VLOOKUP(D1024,mappings!A:B,2,FALSE)</f>
        <v>Finance</v>
      </c>
      <c r="F1024" t="s">
        <v>128</v>
      </c>
    </row>
    <row r="1025" spans="1:6" x14ac:dyDescent="0.25">
      <c r="A1025" t="s">
        <v>3</v>
      </c>
      <c r="B1025" t="s">
        <v>105</v>
      </c>
      <c r="C1025">
        <v>0.56999999999999995</v>
      </c>
      <c r="D1025" t="s">
        <v>85</v>
      </c>
      <c r="E1025" t="str">
        <f>VLOOKUP(D1025,mappings!A:B,2,FALSE)</f>
        <v>STEM</v>
      </c>
      <c r="F1025" t="s">
        <v>128</v>
      </c>
    </row>
    <row r="1026" spans="1:6" x14ac:dyDescent="0.25">
      <c r="A1026" t="s">
        <v>3</v>
      </c>
      <c r="B1026" t="s">
        <v>105</v>
      </c>
      <c r="C1026">
        <v>0.56999999999999995</v>
      </c>
      <c r="D1026" t="s">
        <v>9</v>
      </c>
      <c r="E1026" t="str">
        <f>VLOOKUP(D1026,mappings!A:B,2,FALSE)</f>
        <v>Education</v>
      </c>
      <c r="F1026" t="s">
        <v>128</v>
      </c>
    </row>
    <row r="1027" spans="1:6" x14ac:dyDescent="0.25">
      <c r="A1027" t="s">
        <v>3</v>
      </c>
      <c r="B1027" t="s">
        <v>105</v>
      </c>
      <c r="C1027">
        <v>0.56999999999999995</v>
      </c>
      <c r="D1027" t="s">
        <v>48</v>
      </c>
      <c r="E1027" t="str">
        <f>VLOOKUP(D1027,mappings!A:B,2,FALSE)</f>
        <v>STEM</v>
      </c>
      <c r="F1027" t="s">
        <v>128</v>
      </c>
    </row>
    <row r="1028" spans="1:6" x14ac:dyDescent="0.25">
      <c r="A1028" t="s">
        <v>3</v>
      </c>
      <c r="B1028" t="s">
        <v>105</v>
      </c>
      <c r="C1028">
        <v>0.56000000000000005</v>
      </c>
      <c r="D1028" t="s">
        <v>47</v>
      </c>
      <c r="E1028" t="str">
        <f>VLOOKUP(D1028,mappings!A:B,2,FALSE)</f>
        <v>Legal</v>
      </c>
      <c r="F1028" t="s">
        <v>128</v>
      </c>
    </row>
    <row r="1029" spans="1:6" x14ac:dyDescent="0.25">
      <c r="A1029" t="s">
        <v>3</v>
      </c>
      <c r="B1029" t="s">
        <v>105</v>
      </c>
      <c r="C1029">
        <v>0.56000000000000005</v>
      </c>
      <c r="D1029" t="s">
        <v>6</v>
      </c>
      <c r="E1029" t="str">
        <f>VLOOKUP(D1029,mappings!A:B,2,FALSE)</f>
        <v>Hospitality</v>
      </c>
      <c r="F1029" t="s">
        <v>128</v>
      </c>
    </row>
    <row r="1030" spans="1:6" x14ac:dyDescent="0.25">
      <c r="A1030" t="s">
        <v>3</v>
      </c>
      <c r="B1030" t="s">
        <v>105</v>
      </c>
      <c r="C1030">
        <v>0.56000000000000005</v>
      </c>
      <c r="D1030" t="s">
        <v>41</v>
      </c>
      <c r="E1030" t="str">
        <f>VLOOKUP(D1030,mappings!A:B,2,FALSE)</f>
        <v>Healthcare</v>
      </c>
      <c r="F1030" t="s">
        <v>128</v>
      </c>
    </row>
    <row r="1031" spans="1:6" x14ac:dyDescent="0.25">
      <c r="A1031" t="s">
        <v>3</v>
      </c>
      <c r="B1031" t="s">
        <v>105</v>
      </c>
      <c r="C1031">
        <v>0.56000000000000005</v>
      </c>
      <c r="D1031" t="s">
        <v>7</v>
      </c>
      <c r="E1031" t="str">
        <f>VLOOKUP(D1031,mappings!A:B,2,FALSE)</f>
        <v>Legal</v>
      </c>
      <c r="F1031" t="s">
        <v>128</v>
      </c>
    </row>
    <row r="1032" spans="1:6" x14ac:dyDescent="0.25">
      <c r="A1032" t="s">
        <v>3</v>
      </c>
      <c r="B1032" t="s">
        <v>105</v>
      </c>
      <c r="C1032">
        <v>0.56000000000000005</v>
      </c>
      <c r="D1032" t="s">
        <v>50</v>
      </c>
      <c r="E1032" t="str">
        <f>VLOOKUP(D1032,mappings!A:B,2,FALSE)</f>
        <v>Education</v>
      </c>
      <c r="F1032" t="s">
        <v>128</v>
      </c>
    </row>
    <row r="1033" spans="1:6" x14ac:dyDescent="0.25">
      <c r="A1033" t="s">
        <v>3</v>
      </c>
      <c r="B1033" t="s">
        <v>105</v>
      </c>
      <c r="C1033">
        <v>0.56000000000000005</v>
      </c>
      <c r="D1033" t="s">
        <v>83</v>
      </c>
      <c r="E1033" t="str">
        <f>VLOOKUP(D1033,mappings!A:B,2,FALSE)</f>
        <v>Sales</v>
      </c>
      <c r="F1033" t="s">
        <v>128</v>
      </c>
    </row>
    <row r="1034" spans="1:6" x14ac:dyDescent="0.25">
      <c r="A1034" t="s">
        <v>3</v>
      </c>
      <c r="B1034" t="s">
        <v>105</v>
      </c>
      <c r="C1034">
        <v>0.56000000000000005</v>
      </c>
      <c r="D1034" t="s">
        <v>36</v>
      </c>
      <c r="E1034" t="str">
        <f>VLOOKUP(D1034,mappings!A:B,2,FALSE)</f>
        <v>Healthcare</v>
      </c>
      <c r="F1034" t="s">
        <v>128</v>
      </c>
    </row>
    <row r="1035" spans="1:6" x14ac:dyDescent="0.25">
      <c r="A1035" t="s">
        <v>3</v>
      </c>
      <c r="B1035" t="s">
        <v>105</v>
      </c>
      <c r="C1035">
        <v>0.56000000000000005</v>
      </c>
      <c r="D1035" t="s">
        <v>68</v>
      </c>
      <c r="E1035" t="str">
        <f>VLOOKUP(D1035,mappings!A:B,2,FALSE)</f>
        <v>STEM</v>
      </c>
      <c r="F1035" t="s">
        <v>128</v>
      </c>
    </row>
    <row r="1036" spans="1:6" x14ac:dyDescent="0.25">
      <c r="A1036" t="s">
        <v>3</v>
      </c>
      <c r="B1036" t="s">
        <v>105</v>
      </c>
      <c r="C1036">
        <v>0.56000000000000005</v>
      </c>
      <c r="D1036" t="s">
        <v>23</v>
      </c>
      <c r="E1036" t="str">
        <f>VLOOKUP(D1036,mappings!A:B,2,FALSE)</f>
        <v>Creative</v>
      </c>
      <c r="F1036" t="s">
        <v>128</v>
      </c>
    </row>
    <row r="1037" spans="1:6" x14ac:dyDescent="0.25">
      <c r="A1037" t="s">
        <v>3</v>
      </c>
      <c r="B1037" t="s">
        <v>105</v>
      </c>
      <c r="C1037">
        <v>0.56000000000000005</v>
      </c>
      <c r="D1037" t="s">
        <v>33</v>
      </c>
      <c r="E1037" t="str">
        <f>VLOOKUP(D1037,mappings!A:B,2,FALSE)</f>
        <v>Education</v>
      </c>
      <c r="F1037" t="s">
        <v>128</v>
      </c>
    </row>
    <row r="1038" spans="1:6" x14ac:dyDescent="0.25">
      <c r="A1038" t="s">
        <v>3</v>
      </c>
      <c r="B1038" t="s">
        <v>105</v>
      </c>
      <c r="C1038">
        <v>0.56000000000000005</v>
      </c>
      <c r="D1038" t="s">
        <v>8</v>
      </c>
      <c r="E1038" t="str">
        <f>VLOOKUP(D1038,mappings!A:B,2,FALSE)</f>
        <v>Healthcare</v>
      </c>
      <c r="F1038" t="s">
        <v>128</v>
      </c>
    </row>
    <row r="1039" spans="1:6" x14ac:dyDescent="0.25">
      <c r="A1039" t="s">
        <v>3</v>
      </c>
      <c r="B1039" t="s">
        <v>105</v>
      </c>
      <c r="C1039">
        <v>0.55000000000000004</v>
      </c>
      <c r="D1039" t="s">
        <v>31</v>
      </c>
      <c r="E1039" t="str">
        <f>VLOOKUP(D1039,mappings!A:B,2,FALSE)</f>
        <v>STEM</v>
      </c>
      <c r="F1039" t="s">
        <v>128</v>
      </c>
    </row>
    <row r="1040" spans="1:6" x14ac:dyDescent="0.25">
      <c r="A1040" t="s">
        <v>3</v>
      </c>
      <c r="B1040" t="s">
        <v>105</v>
      </c>
      <c r="C1040">
        <v>0.55000000000000004</v>
      </c>
      <c r="D1040" t="s">
        <v>60</v>
      </c>
      <c r="E1040" t="str">
        <f>VLOOKUP(D1040,mappings!A:B,2,FALSE)</f>
        <v>Finance</v>
      </c>
      <c r="F1040" t="s">
        <v>128</v>
      </c>
    </row>
    <row r="1041" spans="1:6" x14ac:dyDescent="0.25">
      <c r="A1041" t="s">
        <v>3</v>
      </c>
      <c r="B1041" t="s">
        <v>105</v>
      </c>
      <c r="C1041">
        <v>0.55000000000000004</v>
      </c>
      <c r="D1041" t="s">
        <v>65</v>
      </c>
      <c r="E1041" t="str">
        <f>VLOOKUP(D1041,mappings!A:B,2,FALSE)</f>
        <v>Management</v>
      </c>
      <c r="F1041" t="s">
        <v>128</v>
      </c>
    </row>
    <row r="1042" spans="1:6" x14ac:dyDescent="0.25">
      <c r="A1042" t="s">
        <v>3</v>
      </c>
      <c r="B1042" t="s">
        <v>105</v>
      </c>
      <c r="C1042">
        <v>0.55000000000000004</v>
      </c>
      <c r="D1042" t="s">
        <v>72</v>
      </c>
      <c r="E1042" t="str">
        <f>VLOOKUP(D1042,mappings!A:B,2,FALSE)</f>
        <v>STEM</v>
      </c>
      <c r="F1042" t="s">
        <v>128</v>
      </c>
    </row>
    <row r="1043" spans="1:6" x14ac:dyDescent="0.25">
      <c r="A1043" t="s">
        <v>3</v>
      </c>
      <c r="B1043" t="s">
        <v>105</v>
      </c>
      <c r="C1043">
        <v>0.55000000000000004</v>
      </c>
      <c r="D1043" t="s">
        <v>90</v>
      </c>
      <c r="E1043" t="str">
        <f>VLOOKUP(D1043,mappings!A:B,2,FALSE)</f>
        <v>Marketing</v>
      </c>
      <c r="F1043" t="s">
        <v>128</v>
      </c>
    </row>
    <row r="1044" spans="1:6" x14ac:dyDescent="0.25">
      <c r="A1044" t="s">
        <v>3</v>
      </c>
      <c r="B1044" t="s">
        <v>105</v>
      </c>
      <c r="C1044">
        <v>0.55000000000000004</v>
      </c>
      <c r="D1044" t="s">
        <v>14</v>
      </c>
      <c r="E1044" t="str">
        <f>VLOOKUP(D1044,mappings!A:B,2,FALSE)</f>
        <v>Creative</v>
      </c>
      <c r="F1044" t="s">
        <v>128</v>
      </c>
    </row>
    <row r="1045" spans="1:6" x14ac:dyDescent="0.25">
      <c r="A1045" t="s">
        <v>3</v>
      </c>
      <c r="B1045" t="s">
        <v>105</v>
      </c>
      <c r="C1045">
        <v>0.55000000000000004</v>
      </c>
      <c r="D1045" t="s">
        <v>84</v>
      </c>
      <c r="E1045" t="str">
        <f>VLOOKUP(D1045,mappings!A:B,2,FALSE)</f>
        <v>Hospitality</v>
      </c>
      <c r="F1045" t="s">
        <v>128</v>
      </c>
    </row>
    <row r="1046" spans="1:6" x14ac:dyDescent="0.25">
      <c r="A1046" t="s">
        <v>3</v>
      </c>
      <c r="B1046" t="s">
        <v>105</v>
      </c>
      <c r="C1046">
        <v>0.55000000000000004</v>
      </c>
      <c r="D1046" t="s">
        <v>75</v>
      </c>
      <c r="E1046" t="str">
        <f>VLOOKUP(D1046,mappings!A:B,2,FALSE)</f>
        <v>STEM</v>
      </c>
      <c r="F1046" t="s">
        <v>128</v>
      </c>
    </row>
    <row r="1047" spans="1:6" x14ac:dyDescent="0.25">
      <c r="A1047" t="s">
        <v>3</v>
      </c>
      <c r="B1047" t="s">
        <v>105</v>
      </c>
      <c r="C1047">
        <v>0.55000000000000004</v>
      </c>
      <c r="D1047" t="s">
        <v>11</v>
      </c>
      <c r="E1047" t="str">
        <f>VLOOKUP(D1047,mappings!A:B,2,FALSE)</f>
        <v>Human Resources</v>
      </c>
      <c r="F1047" t="s">
        <v>128</v>
      </c>
    </row>
    <row r="1048" spans="1:6" x14ac:dyDescent="0.25">
      <c r="A1048" t="s">
        <v>3</v>
      </c>
      <c r="B1048" t="s">
        <v>105</v>
      </c>
      <c r="C1048">
        <v>0.55000000000000004</v>
      </c>
      <c r="D1048" t="s">
        <v>54</v>
      </c>
      <c r="E1048" t="str">
        <f>VLOOKUP(D1048,mappings!A:B,2,FALSE)</f>
        <v>Marketing</v>
      </c>
      <c r="F1048" t="s">
        <v>128</v>
      </c>
    </row>
    <row r="1049" spans="1:6" x14ac:dyDescent="0.25">
      <c r="A1049" t="s">
        <v>3</v>
      </c>
      <c r="B1049" t="s">
        <v>105</v>
      </c>
      <c r="C1049">
        <v>0.55000000000000004</v>
      </c>
      <c r="D1049" t="s">
        <v>74</v>
      </c>
      <c r="E1049" t="str">
        <f>VLOOKUP(D1049,mappings!A:B,2,FALSE)</f>
        <v>Healthcare</v>
      </c>
      <c r="F1049" t="s">
        <v>128</v>
      </c>
    </row>
    <row r="1050" spans="1:6" x14ac:dyDescent="0.25">
      <c r="A1050" t="s">
        <v>3</v>
      </c>
      <c r="B1050" t="s">
        <v>105</v>
      </c>
      <c r="C1050">
        <v>0.55000000000000004</v>
      </c>
      <c r="D1050" t="s">
        <v>81</v>
      </c>
      <c r="E1050" t="str">
        <f>VLOOKUP(D1050,mappings!A:B,2,FALSE)</f>
        <v>Legal</v>
      </c>
      <c r="F1050" t="s">
        <v>128</v>
      </c>
    </row>
    <row r="1051" spans="1:6" x14ac:dyDescent="0.25">
      <c r="A1051" t="s">
        <v>3</v>
      </c>
      <c r="B1051" t="s">
        <v>105</v>
      </c>
      <c r="C1051">
        <v>0.55000000000000004</v>
      </c>
      <c r="D1051" t="s">
        <v>19</v>
      </c>
      <c r="E1051" t="str">
        <f>VLOOKUP(D1051,mappings!A:B,2,FALSE)</f>
        <v>Finance</v>
      </c>
      <c r="F1051" t="s">
        <v>128</v>
      </c>
    </row>
    <row r="1052" spans="1:6" x14ac:dyDescent="0.25">
      <c r="A1052" t="s">
        <v>3</v>
      </c>
      <c r="B1052" t="s">
        <v>105</v>
      </c>
      <c r="C1052">
        <v>0.54</v>
      </c>
      <c r="D1052" t="s">
        <v>53</v>
      </c>
      <c r="E1052" t="str">
        <f>VLOOKUP(D1052,mappings!A:B,2,FALSE)</f>
        <v>Healthcare</v>
      </c>
      <c r="F1052" t="s">
        <v>128</v>
      </c>
    </row>
    <row r="1053" spans="1:6" x14ac:dyDescent="0.25">
      <c r="A1053" t="s">
        <v>3</v>
      </c>
      <c r="B1053" t="s">
        <v>105</v>
      </c>
      <c r="C1053">
        <v>0.54</v>
      </c>
      <c r="D1053" t="s">
        <v>58</v>
      </c>
      <c r="E1053" t="str">
        <f>VLOOKUP(D1053,mappings!A:B,2,FALSE)</f>
        <v>Education</v>
      </c>
      <c r="F1053" t="s">
        <v>128</v>
      </c>
    </row>
    <row r="1054" spans="1:6" x14ac:dyDescent="0.25">
      <c r="A1054" t="s">
        <v>3</v>
      </c>
      <c r="B1054" t="s">
        <v>105</v>
      </c>
      <c r="C1054">
        <v>0.54</v>
      </c>
      <c r="D1054" t="s">
        <v>96</v>
      </c>
      <c r="E1054" t="str">
        <f>VLOOKUP(D1054,mappings!A:B,2,FALSE)</f>
        <v>Sales</v>
      </c>
      <c r="F1054" t="s">
        <v>128</v>
      </c>
    </row>
    <row r="1055" spans="1:6" x14ac:dyDescent="0.25">
      <c r="A1055" t="s">
        <v>3</v>
      </c>
      <c r="B1055" t="s">
        <v>105</v>
      </c>
      <c r="C1055">
        <v>0.54</v>
      </c>
      <c r="D1055" t="s">
        <v>16</v>
      </c>
      <c r="E1055" t="str">
        <f>VLOOKUP(D1055,mappings!A:B,2,FALSE)</f>
        <v>Finance</v>
      </c>
      <c r="F1055" t="s">
        <v>128</v>
      </c>
    </row>
    <row r="1056" spans="1:6" x14ac:dyDescent="0.25">
      <c r="A1056" t="s">
        <v>3</v>
      </c>
      <c r="B1056" t="s">
        <v>105</v>
      </c>
      <c r="C1056">
        <v>0.54</v>
      </c>
      <c r="D1056" t="s">
        <v>66</v>
      </c>
      <c r="E1056" t="str">
        <f>VLOOKUP(D1056,mappings!A:B,2,FALSE)</f>
        <v>Healthcare</v>
      </c>
      <c r="F1056" t="s">
        <v>128</v>
      </c>
    </row>
    <row r="1057" spans="1:6" x14ac:dyDescent="0.25">
      <c r="A1057" t="s">
        <v>3</v>
      </c>
      <c r="B1057" t="s">
        <v>105</v>
      </c>
      <c r="C1057">
        <v>0.54</v>
      </c>
      <c r="D1057" t="s">
        <v>39</v>
      </c>
      <c r="E1057" t="str">
        <f>VLOOKUP(D1057,mappings!A:B,2,FALSE)</f>
        <v>Administration</v>
      </c>
      <c r="F1057" t="s">
        <v>128</v>
      </c>
    </row>
    <row r="1058" spans="1:6" x14ac:dyDescent="0.25">
      <c r="A1058" t="s">
        <v>3</v>
      </c>
      <c r="B1058" t="s">
        <v>105</v>
      </c>
      <c r="C1058">
        <v>0.54</v>
      </c>
      <c r="D1058" t="s">
        <v>43</v>
      </c>
      <c r="E1058" t="str">
        <f>VLOOKUP(D1058,mappings!A:B,2,FALSE)</f>
        <v>Management</v>
      </c>
      <c r="F1058" t="s">
        <v>128</v>
      </c>
    </row>
    <row r="1059" spans="1:6" x14ac:dyDescent="0.25">
      <c r="A1059" t="s">
        <v>3</v>
      </c>
      <c r="B1059" t="s">
        <v>105</v>
      </c>
      <c r="C1059">
        <v>0.54</v>
      </c>
      <c r="D1059" t="s">
        <v>56</v>
      </c>
      <c r="E1059" t="str">
        <f>VLOOKUP(D1059,mappings!A:B,2,FALSE)</f>
        <v>STEM</v>
      </c>
      <c r="F1059" t="s">
        <v>128</v>
      </c>
    </row>
    <row r="1060" spans="1:6" x14ac:dyDescent="0.25">
      <c r="A1060" t="s">
        <v>3</v>
      </c>
      <c r="B1060" t="s">
        <v>105</v>
      </c>
      <c r="C1060">
        <v>0.54</v>
      </c>
      <c r="D1060" t="s">
        <v>34</v>
      </c>
      <c r="E1060" t="str">
        <f>VLOOKUP(D1060,mappings!A:B,2,FALSE)</f>
        <v>STEM</v>
      </c>
      <c r="F1060" t="s">
        <v>128</v>
      </c>
    </row>
    <row r="1061" spans="1:6" x14ac:dyDescent="0.25">
      <c r="A1061" t="s">
        <v>3</v>
      </c>
      <c r="B1061" t="s">
        <v>105</v>
      </c>
      <c r="C1061">
        <v>0.54</v>
      </c>
      <c r="D1061" t="s">
        <v>51</v>
      </c>
      <c r="E1061" t="str">
        <f>VLOOKUP(D1061,mappings!A:B,2,FALSE)</f>
        <v>Healthcare</v>
      </c>
      <c r="F1061" t="s">
        <v>128</v>
      </c>
    </row>
    <row r="1062" spans="1:6" x14ac:dyDescent="0.25">
      <c r="A1062" t="s">
        <v>3</v>
      </c>
      <c r="B1062" t="s">
        <v>105</v>
      </c>
      <c r="C1062">
        <v>0.54</v>
      </c>
      <c r="D1062" t="s">
        <v>28</v>
      </c>
      <c r="E1062" t="str">
        <f>VLOOKUP(D1062,mappings!A:B,2,FALSE)</f>
        <v>STEM</v>
      </c>
      <c r="F1062" t="s">
        <v>128</v>
      </c>
    </row>
    <row r="1063" spans="1:6" x14ac:dyDescent="0.25">
      <c r="A1063" t="s">
        <v>3</v>
      </c>
      <c r="B1063" t="s">
        <v>105</v>
      </c>
      <c r="C1063">
        <v>0.54</v>
      </c>
      <c r="D1063" t="s">
        <v>100</v>
      </c>
      <c r="E1063" t="str">
        <f>VLOOKUP(D1063,mappings!A:B,2,FALSE)</f>
        <v>Management</v>
      </c>
      <c r="F1063" t="s">
        <v>128</v>
      </c>
    </row>
    <row r="1064" spans="1:6" x14ac:dyDescent="0.25">
      <c r="A1064" t="s">
        <v>3</v>
      </c>
      <c r="B1064" t="s">
        <v>105</v>
      </c>
      <c r="C1064">
        <v>0.54</v>
      </c>
      <c r="D1064" t="s">
        <v>87</v>
      </c>
      <c r="E1064" t="str">
        <f>VLOOKUP(D1064,mappings!A:B,2,FALSE)</f>
        <v>Trades</v>
      </c>
      <c r="F1064" t="s">
        <v>128</v>
      </c>
    </row>
    <row r="1065" spans="1:6" x14ac:dyDescent="0.25">
      <c r="A1065" t="s">
        <v>3</v>
      </c>
      <c r="B1065" t="s">
        <v>105</v>
      </c>
      <c r="C1065">
        <v>0.54</v>
      </c>
      <c r="D1065" t="s">
        <v>76</v>
      </c>
      <c r="E1065" t="str">
        <f>VLOOKUP(D1065,mappings!A:B,2,FALSE)</f>
        <v>Real Estate</v>
      </c>
      <c r="F1065" t="s">
        <v>128</v>
      </c>
    </row>
    <row r="1066" spans="1:6" x14ac:dyDescent="0.25">
      <c r="A1066" t="s">
        <v>3</v>
      </c>
      <c r="B1066" t="s">
        <v>105</v>
      </c>
      <c r="C1066">
        <v>0.54</v>
      </c>
      <c r="D1066" t="s">
        <v>12</v>
      </c>
      <c r="E1066" t="str">
        <f>VLOOKUP(D1066,mappings!A:B,2,FALSE)</f>
        <v>STEM</v>
      </c>
      <c r="F1066" t="s">
        <v>128</v>
      </c>
    </row>
    <row r="1067" spans="1:6" x14ac:dyDescent="0.25">
      <c r="A1067" t="s">
        <v>3</v>
      </c>
      <c r="B1067" t="s">
        <v>105</v>
      </c>
      <c r="C1067">
        <v>0.54</v>
      </c>
      <c r="D1067" t="s">
        <v>29</v>
      </c>
      <c r="E1067" t="str">
        <f>VLOOKUP(D1067,mappings!A:B,2,FALSE)</f>
        <v>Creative</v>
      </c>
      <c r="F1067" t="s">
        <v>128</v>
      </c>
    </row>
    <row r="1068" spans="1:6" x14ac:dyDescent="0.25">
      <c r="A1068" t="s">
        <v>3</v>
      </c>
      <c r="B1068" t="s">
        <v>105</v>
      </c>
      <c r="C1068">
        <v>0.53</v>
      </c>
      <c r="D1068" t="s">
        <v>77</v>
      </c>
      <c r="E1068" t="str">
        <f>VLOOKUP(D1068,mappings!A:B,2,FALSE)</f>
        <v>Legal</v>
      </c>
      <c r="F1068" t="s">
        <v>128</v>
      </c>
    </row>
    <row r="1069" spans="1:6" x14ac:dyDescent="0.25">
      <c r="A1069" t="s">
        <v>3</v>
      </c>
      <c r="B1069" t="s">
        <v>105</v>
      </c>
      <c r="C1069">
        <v>0.53</v>
      </c>
      <c r="D1069" t="s">
        <v>93</v>
      </c>
      <c r="E1069" t="str">
        <f>VLOOKUP(D1069,mappings!A:B,2,FALSE)</f>
        <v>Legal</v>
      </c>
      <c r="F1069" t="s">
        <v>128</v>
      </c>
    </row>
    <row r="1070" spans="1:6" x14ac:dyDescent="0.25">
      <c r="A1070" t="s">
        <v>3</v>
      </c>
      <c r="B1070" t="s">
        <v>105</v>
      </c>
      <c r="C1070">
        <v>0.53</v>
      </c>
      <c r="D1070" t="s">
        <v>95</v>
      </c>
      <c r="E1070" t="str">
        <f>VLOOKUP(D1070,mappings!A:B,2,FALSE)</f>
        <v>STEM</v>
      </c>
      <c r="F1070" t="s">
        <v>128</v>
      </c>
    </row>
    <row r="1071" spans="1:6" x14ac:dyDescent="0.25">
      <c r="A1071" t="s">
        <v>3</v>
      </c>
      <c r="B1071" t="s">
        <v>105</v>
      </c>
      <c r="C1071">
        <v>0.53</v>
      </c>
      <c r="D1071" t="s">
        <v>70</v>
      </c>
      <c r="E1071" t="str">
        <f>VLOOKUP(D1071,mappings!A:B,2,FALSE)</f>
        <v>Operations</v>
      </c>
      <c r="F1071" t="s">
        <v>128</v>
      </c>
    </row>
    <row r="1072" spans="1:6" x14ac:dyDescent="0.25">
      <c r="A1072" t="s">
        <v>3</v>
      </c>
      <c r="B1072" t="s">
        <v>105</v>
      </c>
      <c r="C1072">
        <v>0.53</v>
      </c>
      <c r="D1072" t="s">
        <v>22</v>
      </c>
      <c r="E1072" t="str">
        <f>VLOOKUP(D1072,mappings!A:B,2,FALSE)</f>
        <v>Management</v>
      </c>
      <c r="F1072" t="s">
        <v>128</v>
      </c>
    </row>
    <row r="1073" spans="1:6" x14ac:dyDescent="0.25">
      <c r="A1073" t="s">
        <v>3</v>
      </c>
      <c r="B1073" t="s">
        <v>105</v>
      </c>
      <c r="C1073">
        <v>0.53</v>
      </c>
      <c r="D1073" t="s">
        <v>13</v>
      </c>
      <c r="E1073" t="str">
        <f>VLOOKUP(D1073,mappings!A:B,2,FALSE)</f>
        <v>Administration</v>
      </c>
      <c r="F1073" t="s">
        <v>128</v>
      </c>
    </row>
    <row r="1074" spans="1:6" x14ac:dyDescent="0.25">
      <c r="A1074" t="s">
        <v>3</v>
      </c>
      <c r="B1074" t="s">
        <v>105</v>
      </c>
      <c r="C1074">
        <v>0.53</v>
      </c>
      <c r="D1074" t="s">
        <v>27</v>
      </c>
      <c r="E1074" t="str">
        <f>VLOOKUP(D1074,mappings!A:B,2,FALSE)</f>
        <v>Management</v>
      </c>
      <c r="F1074" t="s">
        <v>128</v>
      </c>
    </row>
    <row r="1075" spans="1:6" x14ac:dyDescent="0.25">
      <c r="A1075" t="s">
        <v>3</v>
      </c>
      <c r="B1075" t="s">
        <v>105</v>
      </c>
      <c r="C1075">
        <v>0.53</v>
      </c>
      <c r="D1075" t="s">
        <v>30</v>
      </c>
      <c r="E1075" t="str">
        <f>VLOOKUP(D1075,mappings!A:B,2,FALSE)</f>
        <v>STEM</v>
      </c>
      <c r="F1075" t="s">
        <v>128</v>
      </c>
    </row>
    <row r="1076" spans="1:6" x14ac:dyDescent="0.25">
      <c r="A1076" t="s">
        <v>3</v>
      </c>
      <c r="B1076" t="s">
        <v>105</v>
      </c>
      <c r="C1076">
        <v>0.53</v>
      </c>
      <c r="D1076" t="s">
        <v>69</v>
      </c>
      <c r="E1076" t="str">
        <f>VLOOKUP(D1076,mappings!A:B,2,FALSE)</f>
        <v>Hospitality</v>
      </c>
      <c r="F1076" t="s">
        <v>128</v>
      </c>
    </row>
    <row r="1077" spans="1:6" x14ac:dyDescent="0.25">
      <c r="A1077" t="s">
        <v>3</v>
      </c>
      <c r="B1077" t="s">
        <v>105</v>
      </c>
      <c r="C1077">
        <v>0.53</v>
      </c>
      <c r="D1077" t="s">
        <v>82</v>
      </c>
      <c r="E1077" t="str">
        <f>VLOOKUP(D1077,mappings!A:B,2,FALSE)</f>
        <v>STEM</v>
      </c>
      <c r="F1077" t="s">
        <v>128</v>
      </c>
    </row>
    <row r="1078" spans="1:6" x14ac:dyDescent="0.25">
      <c r="A1078" t="s">
        <v>3</v>
      </c>
      <c r="B1078" t="s">
        <v>105</v>
      </c>
      <c r="C1078">
        <v>0.53</v>
      </c>
      <c r="D1078" t="s">
        <v>98</v>
      </c>
      <c r="E1078" t="str">
        <f>VLOOKUP(D1078,mappings!A:B,2,FALSE)</f>
        <v>STEM</v>
      </c>
      <c r="F1078" t="s">
        <v>128</v>
      </c>
    </row>
    <row r="1079" spans="1:6" x14ac:dyDescent="0.25">
      <c r="A1079" t="s">
        <v>3</v>
      </c>
      <c r="B1079" t="s">
        <v>105</v>
      </c>
      <c r="C1079">
        <v>0.53</v>
      </c>
      <c r="D1079" t="s">
        <v>61</v>
      </c>
      <c r="E1079" t="str">
        <f>VLOOKUP(D1079,mappings!A:B,2,FALSE)</f>
        <v>STEM</v>
      </c>
      <c r="F1079" t="s">
        <v>128</v>
      </c>
    </row>
    <row r="1080" spans="1:6" x14ac:dyDescent="0.25">
      <c r="A1080" t="s">
        <v>3</v>
      </c>
      <c r="B1080" t="s">
        <v>105</v>
      </c>
      <c r="C1080">
        <v>0.53</v>
      </c>
      <c r="D1080" t="s">
        <v>102</v>
      </c>
      <c r="E1080" t="str">
        <f>VLOOKUP(D1080,mappings!A:B,2,FALSE)</f>
        <v>Operations</v>
      </c>
      <c r="F1080" t="s">
        <v>128</v>
      </c>
    </row>
    <row r="1081" spans="1:6" x14ac:dyDescent="0.25">
      <c r="A1081" t="s">
        <v>3</v>
      </c>
      <c r="B1081" t="s">
        <v>105</v>
      </c>
      <c r="C1081">
        <v>0.53</v>
      </c>
      <c r="D1081" t="s">
        <v>99</v>
      </c>
      <c r="E1081" t="str">
        <f>VLOOKUP(D1081,mappings!A:B,2,FALSE)</f>
        <v>Operations</v>
      </c>
      <c r="F1081" t="s">
        <v>128</v>
      </c>
    </row>
    <row r="1082" spans="1:6" x14ac:dyDescent="0.25">
      <c r="A1082" t="s">
        <v>3</v>
      </c>
      <c r="B1082" t="s">
        <v>105</v>
      </c>
      <c r="C1082">
        <v>0.53</v>
      </c>
      <c r="D1082" t="s">
        <v>20</v>
      </c>
      <c r="E1082" t="str">
        <f>VLOOKUP(D1082,mappings!A:B,2,FALSE)</f>
        <v>Hospitality</v>
      </c>
      <c r="F1082" t="s">
        <v>128</v>
      </c>
    </row>
    <row r="1083" spans="1:6" x14ac:dyDescent="0.25">
      <c r="A1083" t="s">
        <v>3</v>
      </c>
      <c r="B1083" t="s">
        <v>105</v>
      </c>
      <c r="C1083">
        <v>0.52</v>
      </c>
      <c r="D1083" t="s">
        <v>86</v>
      </c>
      <c r="E1083" t="str">
        <f>VLOOKUP(D1083,mappings!A:B,2,FALSE)</f>
        <v>Finance</v>
      </c>
      <c r="F1083" t="s">
        <v>128</v>
      </c>
    </row>
    <row r="1084" spans="1:6" x14ac:dyDescent="0.25">
      <c r="A1084" t="s">
        <v>3</v>
      </c>
      <c r="B1084" t="s">
        <v>105</v>
      </c>
      <c r="C1084">
        <v>0.52</v>
      </c>
      <c r="D1084" t="s">
        <v>78</v>
      </c>
      <c r="E1084" t="str">
        <f>VLOOKUP(D1084,mappings!A:B,2,FALSE)</f>
        <v>Hospitality</v>
      </c>
      <c r="F1084" t="s">
        <v>128</v>
      </c>
    </row>
    <row r="1085" spans="1:6" x14ac:dyDescent="0.25">
      <c r="A1085" t="s">
        <v>3</v>
      </c>
      <c r="B1085" t="s">
        <v>105</v>
      </c>
      <c r="C1085">
        <v>0.52</v>
      </c>
      <c r="D1085" t="s">
        <v>80</v>
      </c>
      <c r="E1085" t="str">
        <f>VLOOKUP(D1085,mappings!A:B,2,FALSE)</f>
        <v>Hospitality</v>
      </c>
      <c r="F1085" t="s">
        <v>128</v>
      </c>
    </row>
    <row r="1086" spans="1:6" x14ac:dyDescent="0.25">
      <c r="A1086" t="s">
        <v>3</v>
      </c>
      <c r="B1086" t="s">
        <v>105</v>
      </c>
      <c r="C1086">
        <v>0.52</v>
      </c>
      <c r="D1086" t="s">
        <v>64</v>
      </c>
      <c r="E1086" t="str">
        <f>VLOOKUP(D1086,mappings!A:B,2,FALSE)</f>
        <v>STEM</v>
      </c>
      <c r="F1086" t="s">
        <v>128</v>
      </c>
    </row>
    <row r="1087" spans="1:6" x14ac:dyDescent="0.25">
      <c r="A1087" t="s">
        <v>3</v>
      </c>
      <c r="B1087" t="s">
        <v>105</v>
      </c>
      <c r="C1087">
        <v>0.52</v>
      </c>
      <c r="D1087" t="s">
        <v>88</v>
      </c>
      <c r="E1087" t="str">
        <f>VLOOKUP(D1087,mappings!A:B,2,FALSE)</f>
        <v>Healthcare</v>
      </c>
      <c r="F1087" t="s">
        <v>128</v>
      </c>
    </row>
    <row r="1088" spans="1:6" x14ac:dyDescent="0.25">
      <c r="A1088" t="s">
        <v>3</v>
      </c>
      <c r="B1088" t="s">
        <v>105</v>
      </c>
      <c r="C1088">
        <v>0.52</v>
      </c>
      <c r="D1088" t="s">
        <v>103</v>
      </c>
      <c r="E1088" t="str">
        <f>VLOOKUP(D1088,mappings!A:B,2,FALSE)</f>
        <v>Healthcare</v>
      </c>
      <c r="F1088" t="s">
        <v>128</v>
      </c>
    </row>
    <row r="1089" spans="1:6" x14ac:dyDescent="0.25">
      <c r="A1089" t="s">
        <v>3</v>
      </c>
      <c r="B1089" t="s">
        <v>105</v>
      </c>
      <c r="C1089">
        <v>0.52</v>
      </c>
      <c r="D1089" t="s">
        <v>55</v>
      </c>
      <c r="E1089" t="str">
        <f>VLOOKUP(D1089,mappings!A:B,2,FALSE)</f>
        <v>Human Resources</v>
      </c>
      <c r="F1089" t="s">
        <v>128</v>
      </c>
    </row>
    <row r="1090" spans="1:6" x14ac:dyDescent="0.25">
      <c r="A1090" t="s">
        <v>3</v>
      </c>
      <c r="B1090" t="s">
        <v>105</v>
      </c>
      <c r="C1090">
        <v>0.52</v>
      </c>
      <c r="D1090" t="s">
        <v>67</v>
      </c>
      <c r="E1090" t="str">
        <f>VLOOKUP(D1090,mappings!A:B,2,FALSE)</f>
        <v>Finance</v>
      </c>
      <c r="F1090" t="s">
        <v>128</v>
      </c>
    </row>
    <row r="1091" spans="1:6" x14ac:dyDescent="0.25">
      <c r="A1091" t="s">
        <v>3</v>
      </c>
      <c r="B1091" t="s">
        <v>105</v>
      </c>
      <c r="C1091">
        <v>0.52</v>
      </c>
      <c r="D1091" t="s">
        <v>44</v>
      </c>
      <c r="E1091" t="str">
        <f>VLOOKUP(D1091,mappings!A:B,2,FALSE)</f>
        <v>Healthcare</v>
      </c>
      <c r="F1091" t="s">
        <v>128</v>
      </c>
    </row>
    <row r="1092" spans="1:6" x14ac:dyDescent="0.25">
      <c r="A1092" t="s">
        <v>3</v>
      </c>
      <c r="B1092" t="s">
        <v>105</v>
      </c>
      <c r="C1092">
        <v>0.52</v>
      </c>
      <c r="D1092" t="s">
        <v>18</v>
      </c>
      <c r="E1092" t="str">
        <f>VLOOKUP(D1092,mappings!A:B,2,FALSE)</f>
        <v>Finance</v>
      </c>
      <c r="F1092" t="s">
        <v>128</v>
      </c>
    </row>
    <row r="1093" spans="1:6" x14ac:dyDescent="0.25">
      <c r="A1093" t="s">
        <v>3</v>
      </c>
      <c r="B1093" t="s">
        <v>105</v>
      </c>
      <c r="C1093">
        <v>0.52</v>
      </c>
      <c r="D1093" t="s">
        <v>71</v>
      </c>
      <c r="E1093" t="str">
        <f>VLOOKUP(D1093,mappings!A:B,2,FALSE)</f>
        <v>STEM</v>
      </c>
      <c r="F1093" t="s">
        <v>128</v>
      </c>
    </row>
    <row r="1094" spans="1:6" x14ac:dyDescent="0.25">
      <c r="A1094" t="s">
        <v>3</v>
      </c>
      <c r="B1094" t="s">
        <v>105</v>
      </c>
      <c r="C1094">
        <v>0.52</v>
      </c>
      <c r="D1094" t="s">
        <v>73</v>
      </c>
      <c r="E1094" t="str">
        <f>VLOOKUP(D1094,mappings!A:B,2,FALSE)</f>
        <v>Finance</v>
      </c>
      <c r="F1094" t="s">
        <v>128</v>
      </c>
    </row>
    <row r="1095" spans="1:6" x14ac:dyDescent="0.25">
      <c r="A1095" t="s">
        <v>3</v>
      </c>
      <c r="B1095" t="s">
        <v>105</v>
      </c>
      <c r="C1095">
        <v>0.52</v>
      </c>
      <c r="D1095" t="s">
        <v>62</v>
      </c>
      <c r="E1095" t="str">
        <f>VLOOKUP(D1095,mappings!A:B,2,FALSE)</f>
        <v>Marketing</v>
      </c>
      <c r="F1095" t="s">
        <v>128</v>
      </c>
    </row>
    <row r="1096" spans="1:6" x14ac:dyDescent="0.25">
      <c r="A1096" t="s">
        <v>3</v>
      </c>
      <c r="B1096" t="s">
        <v>105</v>
      </c>
      <c r="C1096">
        <v>0.51</v>
      </c>
      <c r="D1096" t="s">
        <v>94</v>
      </c>
      <c r="E1096" t="str">
        <f>VLOOKUP(D1096,mappings!A:B,2,FALSE)</f>
        <v>Management</v>
      </c>
      <c r="F1096" t="s">
        <v>128</v>
      </c>
    </row>
    <row r="1097" spans="1:6" x14ac:dyDescent="0.25">
      <c r="A1097" t="s">
        <v>3</v>
      </c>
      <c r="B1097" t="s">
        <v>105</v>
      </c>
      <c r="C1097">
        <v>0.51</v>
      </c>
      <c r="D1097" t="s">
        <v>97</v>
      </c>
      <c r="E1097" t="str">
        <f>VLOOKUP(D1097,mappings!A:B,2,FALSE)</f>
        <v>STEM</v>
      </c>
      <c r="F1097" t="s">
        <v>128</v>
      </c>
    </row>
    <row r="1098" spans="1:6" x14ac:dyDescent="0.25">
      <c r="A1098" t="s">
        <v>3</v>
      </c>
      <c r="B1098" t="s">
        <v>105</v>
      </c>
      <c r="C1098">
        <v>0.51</v>
      </c>
      <c r="D1098" t="s">
        <v>89</v>
      </c>
      <c r="E1098" t="str">
        <f>VLOOKUP(D1098,mappings!A:B,2,FALSE)</f>
        <v>Finance</v>
      </c>
      <c r="F1098" t="s">
        <v>128</v>
      </c>
    </row>
    <row r="1099" spans="1:6" x14ac:dyDescent="0.25">
      <c r="A1099" t="s">
        <v>3</v>
      </c>
      <c r="B1099" t="s">
        <v>105</v>
      </c>
      <c r="C1099">
        <v>0.5</v>
      </c>
      <c r="D1099" t="s">
        <v>79</v>
      </c>
      <c r="E1099" t="str">
        <f>VLOOKUP(D1099,mappings!A:B,2,FALSE)</f>
        <v>Marketing</v>
      </c>
      <c r="F1099" t="s">
        <v>128</v>
      </c>
    </row>
    <row r="1100" spans="1:6" x14ac:dyDescent="0.25">
      <c r="A1100" t="s">
        <v>3</v>
      </c>
      <c r="B1100" t="s">
        <v>105</v>
      </c>
      <c r="C1100">
        <v>0.5</v>
      </c>
      <c r="D1100" t="s">
        <v>92</v>
      </c>
      <c r="E1100" t="str">
        <f>VLOOKUP(D1100,mappings!A:B,2,FALSE)</f>
        <v>Management</v>
      </c>
      <c r="F1100" t="s">
        <v>128</v>
      </c>
    </row>
    <row r="1101" spans="1:6" x14ac:dyDescent="0.25">
      <c r="A1101" t="s">
        <v>3</v>
      </c>
      <c r="B1101" t="s">
        <v>105</v>
      </c>
      <c r="C1101">
        <v>0.49</v>
      </c>
      <c r="D1101" t="s">
        <v>101</v>
      </c>
      <c r="E1101" t="str">
        <f>VLOOKUP(D1101,mappings!A:B,2,FALSE)</f>
        <v>Healthcare</v>
      </c>
      <c r="F1101" t="s">
        <v>128</v>
      </c>
    </row>
    <row r="1102" spans="1:6" x14ac:dyDescent="0.25">
      <c r="A1102" t="s">
        <v>104</v>
      </c>
      <c r="B1102" t="s">
        <v>107</v>
      </c>
      <c r="C1102">
        <v>0.6</v>
      </c>
      <c r="D1102" t="s">
        <v>24</v>
      </c>
      <c r="E1102" t="str">
        <f>VLOOKUP(D1102,mappings!A:B,2,FALSE)</f>
        <v>Education</v>
      </c>
      <c r="F1102" t="s">
        <v>128</v>
      </c>
    </row>
    <row r="1103" spans="1:6" x14ac:dyDescent="0.25">
      <c r="A1103" t="s">
        <v>104</v>
      </c>
      <c r="B1103" t="s">
        <v>107</v>
      </c>
      <c r="C1103">
        <v>0.6</v>
      </c>
      <c r="D1103" t="s">
        <v>59</v>
      </c>
      <c r="E1103" t="str">
        <f>VLOOKUP(D1103,mappings!A:B,2,FALSE)</f>
        <v>Real Estate</v>
      </c>
      <c r="F1103" t="s">
        <v>128</v>
      </c>
    </row>
    <row r="1104" spans="1:6" x14ac:dyDescent="0.25">
      <c r="A1104" t="s">
        <v>104</v>
      </c>
      <c r="B1104" t="s">
        <v>107</v>
      </c>
      <c r="C1104">
        <v>0.6</v>
      </c>
      <c r="D1104" t="s">
        <v>5</v>
      </c>
      <c r="E1104" t="str">
        <f>VLOOKUP(D1104,mappings!A:B,2,FALSE)</f>
        <v>Hospitality</v>
      </c>
      <c r="F1104" t="s">
        <v>128</v>
      </c>
    </row>
    <row r="1105" spans="1:6" x14ac:dyDescent="0.25">
      <c r="A1105" t="s">
        <v>104</v>
      </c>
      <c r="B1105" t="s">
        <v>107</v>
      </c>
      <c r="C1105">
        <v>0.59</v>
      </c>
      <c r="D1105" t="s">
        <v>42</v>
      </c>
      <c r="E1105" t="str">
        <f>VLOOKUP(D1105,mappings!A:B,2,FALSE)</f>
        <v>Healthcare</v>
      </c>
      <c r="F1105" t="s">
        <v>128</v>
      </c>
    </row>
    <row r="1106" spans="1:6" x14ac:dyDescent="0.25">
      <c r="A1106" t="s">
        <v>104</v>
      </c>
      <c r="B1106" t="s">
        <v>107</v>
      </c>
      <c r="C1106">
        <v>0.57999999999999996</v>
      </c>
      <c r="D1106" t="s">
        <v>40</v>
      </c>
      <c r="E1106" t="str">
        <f>VLOOKUP(D1106,mappings!A:B,2,FALSE)</f>
        <v>STEM</v>
      </c>
      <c r="F1106" t="s">
        <v>128</v>
      </c>
    </row>
    <row r="1107" spans="1:6" x14ac:dyDescent="0.25">
      <c r="A1107" t="s">
        <v>104</v>
      </c>
      <c r="B1107" t="s">
        <v>107</v>
      </c>
      <c r="C1107">
        <v>0.57999999999999996</v>
      </c>
      <c r="D1107" t="s">
        <v>10</v>
      </c>
      <c r="E1107" t="str">
        <f>VLOOKUP(D1107,mappings!A:B,2,FALSE)</f>
        <v>Healthcare</v>
      </c>
      <c r="F1107" t="s">
        <v>128</v>
      </c>
    </row>
    <row r="1108" spans="1:6" x14ac:dyDescent="0.25">
      <c r="A1108" t="s">
        <v>104</v>
      </c>
      <c r="B1108" t="s">
        <v>107</v>
      </c>
      <c r="C1108">
        <v>0.57999999999999996</v>
      </c>
      <c r="D1108" t="s">
        <v>16</v>
      </c>
      <c r="E1108" t="str">
        <f>VLOOKUP(D1108,mappings!A:B,2,FALSE)</f>
        <v>Finance</v>
      </c>
      <c r="F1108" t="s">
        <v>128</v>
      </c>
    </row>
    <row r="1109" spans="1:6" x14ac:dyDescent="0.25">
      <c r="A1109" t="s">
        <v>104</v>
      </c>
      <c r="B1109" t="s">
        <v>107</v>
      </c>
      <c r="C1109">
        <v>0.57999999999999996</v>
      </c>
      <c r="D1109" t="s">
        <v>47</v>
      </c>
      <c r="E1109" t="str">
        <f>VLOOKUP(D1109,mappings!A:B,2,FALSE)</f>
        <v>Legal</v>
      </c>
      <c r="F1109" t="s">
        <v>128</v>
      </c>
    </row>
    <row r="1110" spans="1:6" x14ac:dyDescent="0.25">
      <c r="A1110" t="s">
        <v>104</v>
      </c>
      <c r="B1110" t="s">
        <v>107</v>
      </c>
      <c r="C1110">
        <v>0.57999999999999996</v>
      </c>
      <c r="D1110" t="s">
        <v>38</v>
      </c>
      <c r="E1110" t="str">
        <f>VLOOKUP(D1110,mappings!A:B,2,FALSE)</f>
        <v>Healthcare</v>
      </c>
      <c r="F1110" t="s">
        <v>128</v>
      </c>
    </row>
    <row r="1111" spans="1:6" x14ac:dyDescent="0.25">
      <c r="A1111" t="s">
        <v>104</v>
      </c>
      <c r="B1111" t="s">
        <v>107</v>
      </c>
      <c r="C1111">
        <v>0.57999999999999996</v>
      </c>
      <c r="D1111" t="s">
        <v>91</v>
      </c>
      <c r="E1111" t="str">
        <f>VLOOKUP(D1111,mappings!A:B,2,FALSE)</f>
        <v>Finance</v>
      </c>
      <c r="F1111" t="s">
        <v>128</v>
      </c>
    </row>
    <row r="1112" spans="1:6" x14ac:dyDescent="0.25">
      <c r="A1112" t="s">
        <v>104</v>
      </c>
      <c r="B1112" t="s">
        <v>107</v>
      </c>
      <c r="C1112">
        <v>0.56999999999999995</v>
      </c>
      <c r="D1112" t="s">
        <v>49</v>
      </c>
      <c r="E1112" t="str">
        <f>VLOOKUP(D1112,mappings!A:B,2,FALSE)</f>
        <v>Healthcare</v>
      </c>
      <c r="F1112" t="s">
        <v>128</v>
      </c>
    </row>
    <row r="1113" spans="1:6" x14ac:dyDescent="0.25">
      <c r="A1113" t="s">
        <v>104</v>
      </c>
      <c r="B1113" t="s">
        <v>107</v>
      </c>
      <c r="C1113">
        <v>0.56999999999999995</v>
      </c>
      <c r="D1113" t="s">
        <v>35</v>
      </c>
      <c r="E1113" t="str">
        <f>VLOOKUP(D1113,mappings!A:B,2,FALSE)</f>
        <v>Education</v>
      </c>
      <c r="F1113" t="s">
        <v>128</v>
      </c>
    </row>
    <row r="1114" spans="1:6" x14ac:dyDescent="0.25">
      <c r="A1114" t="s">
        <v>104</v>
      </c>
      <c r="B1114" t="s">
        <v>107</v>
      </c>
      <c r="C1114">
        <v>0.56999999999999995</v>
      </c>
      <c r="D1114" t="s">
        <v>7</v>
      </c>
      <c r="E1114" t="str">
        <f>VLOOKUP(D1114,mappings!A:B,2,FALSE)</f>
        <v>Legal</v>
      </c>
      <c r="F1114" t="s">
        <v>128</v>
      </c>
    </row>
    <row r="1115" spans="1:6" x14ac:dyDescent="0.25">
      <c r="A1115" t="s">
        <v>104</v>
      </c>
      <c r="B1115" t="s">
        <v>107</v>
      </c>
      <c r="C1115">
        <v>0.56999999999999995</v>
      </c>
      <c r="D1115" t="s">
        <v>52</v>
      </c>
      <c r="E1115" t="str">
        <f>VLOOKUP(D1115,mappings!A:B,2,FALSE)</f>
        <v>Operations</v>
      </c>
      <c r="F1115" t="s">
        <v>128</v>
      </c>
    </row>
    <row r="1116" spans="1:6" x14ac:dyDescent="0.25">
      <c r="A1116" t="s">
        <v>104</v>
      </c>
      <c r="B1116" t="s">
        <v>107</v>
      </c>
      <c r="C1116">
        <v>0.56999999999999995</v>
      </c>
      <c r="D1116" t="s">
        <v>23</v>
      </c>
      <c r="E1116" t="str">
        <f>VLOOKUP(D1116,mappings!A:B,2,FALSE)</f>
        <v>Creative</v>
      </c>
      <c r="F1116" t="s">
        <v>128</v>
      </c>
    </row>
    <row r="1117" spans="1:6" x14ac:dyDescent="0.25">
      <c r="A1117" t="s">
        <v>104</v>
      </c>
      <c r="B1117" t="s">
        <v>107</v>
      </c>
      <c r="C1117">
        <v>0.56999999999999995</v>
      </c>
      <c r="D1117" t="s">
        <v>4</v>
      </c>
      <c r="E1117" t="str">
        <f>VLOOKUP(D1117,mappings!A:B,2,FALSE)</f>
        <v>Creative</v>
      </c>
      <c r="F1117" t="s">
        <v>128</v>
      </c>
    </row>
    <row r="1118" spans="1:6" x14ac:dyDescent="0.25">
      <c r="A1118" t="s">
        <v>104</v>
      </c>
      <c r="B1118" t="s">
        <v>107</v>
      </c>
      <c r="C1118">
        <v>0.56999999999999995</v>
      </c>
      <c r="D1118" t="s">
        <v>25</v>
      </c>
      <c r="E1118" t="str">
        <f>VLOOKUP(D1118,mappings!A:B,2,FALSE)</f>
        <v>Creative</v>
      </c>
      <c r="F1118" t="s">
        <v>128</v>
      </c>
    </row>
    <row r="1119" spans="1:6" x14ac:dyDescent="0.25">
      <c r="A1119" t="s">
        <v>104</v>
      </c>
      <c r="B1119" t="s">
        <v>107</v>
      </c>
      <c r="C1119">
        <v>0.56999999999999995</v>
      </c>
      <c r="D1119" t="s">
        <v>85</v>
      </c>
      <c r="E1119" t="str">
        <f>VLOOKUP(D1119,mappings!A:B,2,FALSE)</f>
        <v>STEM</v>
      </c>
      <c r="F1119" t="s">
        <v>128</v>
      </c>
    </row>
    <row r="1120" spans="1:6" x14ac:dyDescent="0.25">
      <c r="A1120" t="s">
        <v>104</v>
      </c>
      <c r="B1120" t="s">
        <v>107</v>
      </c>
      <c r="C1120">
        <v>0.56999999999999995</v>
      </c>
      <c r="D1120" t="s">
        <v>18</v>
      </c>
      <c r="E1120" t="str">
        <f>VLOOKUP(D1120,mappings!A:B,2,FALSE)</f>
        <v>Finance</v>
      </c>
      <c r="F1120" t="s">
        <v>128</v>
      </c>
    </row>
    <row r="1121" spans="1:6" x14ac:dyDescent="0.25">
      <c r="A1121" t="s">
        <v>104</v>
      </c>
      <c r="B1121" t="s">
        <v>107</v>
      </c>
      <c r="C1121">
        <v>0.56999999999999995</v>
      </c>
      <c r="D1121" t="s">
        <v>21</v>
      </c>
      <c r="E1121" t="str">
        <f>VLOOKUP(D1121,mappings!A:B,2,FALSE)</f>
        <v>Trades</v>
      </c>
      <c r="F1121" t="s">
        <v>128</v>
      </c>
    </row>
    <row r="1122" spans="1:6" x14ac:dyDescent="0.25">
      <c r="A1122" t="s">
        <v>104</v>
      </c>
      <c r="B1122" t="s">
        <v>107</v>
      </c>
      <c r="C1122">
        <v>0.56999999999999995</v>
      </c>
      <c r="D1122" t="s">
        <v>72</v>
      </c>
      <c r="E1122" t="str">
        <f>VLOOKUP(D1122,mappings!A:B,2,FALSE)</f>
        <v>STEM</v>
      </c>
      <c r="F1122" t="s">
        <v>128</v>
      </c>
    </row>
    <row r="1123" spans="1:6" x14ac:dyDescent="0.25">
      <c r="A1123" t="s">
        <v>104</v>
      </c>
      <c r="B1123" t="s">
        <v>107</v>
      </c>
      <c r="C1123">
        <v>0.56999999999999995</v>
      </c>
      <c r="D1123" t="s">
        <v>75</v>
      </c>
      <c r="E1123" t="str">
        <f>VLOOKUP(D1123,mappings!A:B,2,FALSE)</f>
        <v>STEM</v>
      </c>
      <c r="F1123" t="s">
        <v>128</v>
      </c>
    </row>
    <row r="1124" spans="1:6" x14ac:dyDescent="0.25">
      <c r="A1124" t="s">
        <v>104</v>
      </c>
      <c r="B1124" t="s">
        <v>107</v>
      </c>
      <c r="C1124">
        <v>0.56999999999999995</v>
      </c>
      <c r="D1124" t="s">
        <v>32</v>
      </c>
      <c r="E1124" t="str">
        <f>VLOOKUP(D1124,mappings!A:B,2,FALSE)</f>
        <v>Human Resources</v>
      </c>
      <c r="F1124" t="s">
        <v>128</v>
      </c>
    </row>
    <row r="1125" spans="1:6" x14ac:dyDescent="0.25">
      <c r="A1125" t="s">
        <v>104</v>
      </c>
      <c r="B1125" t="s">
        <v>107</v>
      </c>
      <c r="C1125">
        <v>0.56999999999999995</v>
      </c>
      <c r="D1125" t="s">
        <v>50</v>
      </c>
      <c r="E1125" t="str">
        <f>VLOOKUP(D1125,mappings!A:B,2,FALSE)</f>
        <v>Education</v>
      </c>
      <c r="F1125" t="s">
        <v>128</v>
      </c>
    </row>
    <row r="1126" spans="1:6" x14ac:dyDescent="0.25">
      <c r="A1126" t="s">
        <v>104</v>
      </c>
      <c r="B1126" t="s">
        <v>107</v>
      </c>
      <c r="C1126">
        <v>0.56999999999999995</v>
      </c>
      <c r="D1126" t="s">
        <v>41</v>
      </c>
      <c r="E1126" t="str">
        <f>VLOOKUP(D1126,mappings!A:B,2,FALSE)</f>
        <v>Healthcare</v>
      </c>
      <c r="F1126" t="s">
        <v>128</v>
      </c>
    </row>
    <row r="1127" spans="1:6" x14ac:dyDescent="0.25">
      <c r="A1127" t="s">
        <v>104</v>
      </c>
      <c r="B1127" t="s">
        <v>107</v>
      </c>
      <c r="C1127">
        <v>0.56999999999999995</v>
      </c>
      <c r="D1127" t="s">
        <v>34</v>
      </c>
      <c r="E1127" t="str">
        <f>VLOOKUP(D1127,mappings!A:B,2,FALSE)</f>
        <v>STEM</v>
      </c>
      <c r="F1127" t="s">
        <v>128</v>
      </c>
    </row>
    <row r="1128" spans="1:6" x14ac:dyDescent="0.25">
      <c r="A1128" t="s">
        <v>104</v>
      </c>
      <c r="B1128" t="s">
        <v>107</v>
      </c>
      <c r="C1128">
        <v>0.56000000000000005</v>
      </c>
      <c r="D1128" t="s">
        <v>15</v>
      </c>
      <c r="E1128" t="str">
        <f>VLOOKUP(D1128,mappings!A:B,2,FALSE)</f>
        <v>Trades</v>
      </c>
      <c r="F1128" t="s">
        <v>128</v>
      </c>
    </row>
    <row r="1129" spans="1:6" x14ac:dyDescent="0.25">
      <c r="A1129" t="s">
        <v>104</v>
      </c>
      <c r="B1129" t="s">
        <v>107</v>
      </c>
      <c r="C1129">
        <v>0.56000000000000005</v>
      </c>
      <c r="D1129" t="s">
        <v>27</v>
      </c>
      <c r="E1129" t="str">
        <f>VLOOKUP(D1129,mappings!A:B,2,FALSE)</f>
        <v>Management</v>
      </c>
      <c r="F1129" t="s">
        <v>128</v>
      </c>
    </row>
    <row r="1130" spans="1:6" x14ac:dyDescent="0.25">
      <c r="A1130" t="s">
        <v>104</v>
      </c>
      <c r="B1130" t="s">
        <v>107</v>
      </c>
      <c r="C1130">
        <v>0.56000000000000005</v>
      </c>
      <c r="D1130" t="s">
        <v>17</v>
      </c>
      <c r="E1130" t="str">
        <f>VLOOKUP(D1130,mappings!A:B,2,FALSE)</f>
        <v>Sales</v>
      </c>
      <c r="F1130" t="s">
        <v>128</v>
      </c>
    </row>
    <row r="1131" spans="1:6" x14ac:dyDescent="0.25">
      <c r="A1131" t="s">
        <v>104</v>
      </c>
      <c r="B1131" t="s">
        <v>107</v>
      </c>
      <c r="C1131">
        <v>0.56000000000000005</v>
      </c>
      <c r="D1131" t="s">
        <v>48</v>
      </c>
      <c r="E1131" t="str">
        <f>VLOOKUP(D1131,mappings!A:B,2,FALSE)</f>
        <v>STEM</v>
      </c>
      <c r="F1131" t="s">
        <v>128</v>
      </c>
    </row>
    <row r="1132" spans="1:6" x14ac:dyDescent="0.25">
      <c r="A1132" t="s">
        <v>104</v>
      </c>
      <c r="B1132" t="s">
        <v>107</v>
      </c>
      <c r="C1132">
        <v>0.56000000000000005</v>
      </c>
      <c r="D1132" t="s">
        <v>20</v>
      </c>
      <c r="E1132" t="str">
        <f>VLOOKUP(D1132,mappings!A:B,2,FALSE)</f>
        <v>Hospitality</v>
      </c>
      <c r="F1132" t="s">
        <v>128</v>
      </c>
    </row>
    <row r="1133" spans="1:6" x14ac:dyDescent="0.25">
      <c r="A1133" t="s">
        <v>104</v>
      </c>
      <c r="B1133" t="s">
        <v>107</v>
      </c>
      <c r="C1133">
        <v>0.56000000000000005</v>
      </c>
      <c r="D1133" t="s">
        <v>14</v>
      </c>
      <c r="E1133" t="str">
        <f>VLOOKUP(D1133,mappings!A:B,2,FALSE)</f>
        <v>Creative</v>
      </c>
      <c r="F1133" t="s">
        <v>128</v>
      </c>
    </row>
    <row r="1134" spans="1:6" x14ac:dyDescent="0.25">
      <c r="A1134" t="s">
        <v>104</v>
      </c>
      <c r="B1134" t="s">
        <v>107</v>
      </c>
      <c r="C1134">
        <v>0.56000000000000005</v>
      </c>
      <c r="D1134" t="s">
        <v>6</v>
      </c>
      <c r="E1134" t="str">
        <f>VLOOKUP(D1134,mappings!A:B,2,FALSE)</f>
        <v>Hospitality</v>
      </c>
      <c r="F1134" t="s">
        <v>128</v>
      </c>
    </row>
    <row r="1135" spans="1:6" x14ac:dyDescent="0.25">
      <c r="A1135" t="s">
        <v>104</v>
      </c>
      <c r="B1135" t="s">
        <v>107</v>
      </c>
      <c r="C1135">
        <v>0.56000000000000005</v>
      </c>
      <c r="D1135" t="s">
        <v>37</v>
      </c>
      <c r="E1135" t="str">
        <f>VLOOKUP(D1135,mappings!A:B,2,FALSE)</f>
        <v>Marketing</v>
      </c>
      <c r="F1135" t="s">
        <v>128</v>
      </c>
    </row>
    <row r="1136" spans="1:6" x14ac:dyDescent="0.25">
      <c r="A1136" t="s">
        <v>104</v>
      </c>
      <c r="B1136" t="s">
        <v>107</v>
      </c>
      <c r="C1136">
        <v>0.56000000000000005</v>
      </c>
      <c r="D1136" t="s">
        <v>13</v>
      </c>
      <c r="E1136" t="str">
        <f>VLOOKUP(D1136,mappings!A:B,2,FALSE)</f>
        <v>Administration</v>
      </c>
      <c r="F1136" t="s">
        <v>128</v>
      </c>
    </row>
    <row r="1137" spans="1:6" x14ac:dyDescent="0.25">
      <c r="A1137" t="s">
        <v>104</v>
      </c>
      <c r="B1137" t="s">
        <v>107</v>
      </c>
      <c r="C1137">
        <v>0.56000000000000005</v>
      </c>
      <c r="D1137" t="s">
        <v>68</v>
      </c>
      <c r="E1137" t="str">
        <f>VLOOKUP(D1137,mappings!A:B,2,FALSE)</f>
        <v>STEM</v>
      </c>
      <c r="F1137" t="s">
        <v>128</v>
      </c>
    </row>
    <row r="1138" spans="1:6" x14ac:dyDescent="0.25">
      <c r="A1138" t="s">
        <v>104</v>
      </c>
      <c r="B1138" t="s">
        <v>107</v>
      </c>
      <c r="C1138">
        <v>0.56000000000000005</v>
      </c>
      <c r="D1138" t="s">
        <v>57</v>
      </c>
      <c r="E1138" t="str">
        <f>VLOOKUP(D1138,mappings!A:B,2,FALSE)</f>
        <v>Finance</v>
      </c>
      <c r="F1138" t="s">
        <v>128</v>
      </c>
    </row>
    <row r="1139" spans="1:6" x14ac:dyDescent="0.25">
      <c r="A1139" t="s">
        <v>104</v>
      </c>
      <c r="B1139" t="s">
        <v>107</v>
      </c>
      <c r="C1139">
        <v>0.56000000000000005</v>
      </c>
      <c r="D1139" t="s">
        <v>61</v>
      </c>
      <c r="E1139" t="str">
        <f>VLOOKUP(D1139,mappings!A:B,2,FALSE)</f>
        <v>STEM</v>
      </c>
      <c r="F1139" t="s">
        <v>128</v>
      </c>
    </row>
    <row r="1140" spans="1:6" x14ac:dyDescent="0.25">
      <c r="A1140" t="s">
        <v>104</v>
      </c>
      <c r="B1140" t="s">
        <v>107</v>
      </c>
      <c r="C1140">
        <v>0.56000000000000005</v>
      </c>
      <c r="D1140" t="s">
        <v>26</v>
      </c>
      <c r="E1140" t="str">
        <f>VLOOKUP(D1140,mappings!A:B,2,FALSE)</f>
        <v>Healthcare</v>
      </c>
      <c r="F1140" t="s">
        <v>128</v>
      </c>
    </row>
    <row r="1141" spans="1:6" x14ac:dyDescent="0.25">
      <c r="A1141" t="s">
        <v>104</v>
      </c>
      <c r="B1141" t="s">
        <v>107</v>
      </c>
      <c r="C1141">
        <v>0.55000000000000004</v>
      </c>
      <c r="D1141" t="s">
        <v>43</v>
      </c>
      <c r="E1141" t="str">
        <f>VLOOKUP(D1141,mappings!A:B,2,FALSE)</f>
        <v>Management</v>
      </c>
      <c r="F1141" t="s">
        <v>128</v>
      </c>
    </row>
    <row r="1142" spans="1:6" x14ac:dyDescent="0.25">
      <c r="A1142" t="s">
        <v>104</v>
      </c>
      <c r="B1142" t="s">
        <v>107</v>
      </c>
      <c r="C1142">
        <v>0.55000000000000004</v>
      </c>
      <c r="D1142" t="s">
        <v>33</v>
      </c>
      <c r="E1142" t="str">
        <f>VLOOKUP(D1142,mappings!A:B,2,FALSE)</f>
        <v>Education</v>
      </c>
      <c r="F1142" t="s">
        <v>128</v>
      </c>
    </row>
    <row r="1143" spans="1:6" x14ac:dyDescent="0.25">
      <c r="A1143" t="s">
        <v>104</v>
      </c>
      <c r="B1143" t="s">
        <v>107</v>
      </c>
      <c r="C1143">
        <v>0.55000000000000004</v>
      </c>
      <c r="D1143" t="s">
        <v>11</v>
      </c>
      <c r="E1143" t="str">
        <f>VLOOKUP(D1143,mappings!A:B,2,FALSE)</f>
        <v>Human Resources</v>
      </c>
      <c r="F1143" t="s">
        <v>128</v>
      </c>
    </row>
    <row r="1144" spans="1:6" x14ac:dyDescent="0.25">
      <c r="A1144" t="s">
        <v>104</v>
      </c>
      <c r="B1144" t="s">
        <v>107</v>
      </c>
      <c r="C1144">
        <v>0.55000000000000004</v>
      </c>
      <c r="D1144" t="s">
        <v>19</v>
      </c>
      <c r="E1144" t="str">
        <f>VLOOKUP(D1144,mappings!A:B,2,FALSE)</f>
        <v>Finance</v>
      </c>
      <c r="F1144" t="s">
        <v>128</v>
      </c>
    </row>
    <row r="1145" spans="1:6" x14ac:dyDescent="0.25">
      <c r="A1145" t="s">
        <v>104</v>
      </c>
      <c r="B1145" t="s">
        <v>107</v>
      </c>
      <c r="C1145">
        <v>0.55000000000000004</v>
      </c>
      <c r="D1145" t="s">
        <v>60</v>
      </c>
      <c r="E1145" t="str">
        <f>VLOOKUP(D1145,mappings!A:B,2,FALSE)</f>
        <v>Finance</v>
      </c>
      <c r="F1145" t="s">
        <v>128</v>
      </c>
    </row>
    <row r="1146" spans="1:6" x14ac:dyDescent="0.25">
      <c r="A1146" t="s">
        <v>104</v>
      </c>
      <c r="B1146" t="s">
        <v>107</v>
      </c>
      <c r="C1146">
        <v>0.55000000000000004</v>
      </c>
      <c r="D1146" t="s">
        <v>76</v>
      </c>
      <c r="E1146" t="str">
        <f>VLOOKUP(D1146,mappings!A:B,2,FALSE)</f>
        <v>Real Estate</v>
      </c>
      <c r="F1146" t="s">
        <v>128</v>
      </c>
    </row>
    <row r="1147" spans="1:6" x14ac:dyDescent="0.25">
      <c r="A1147" t="s">
        <v>104</v>
      </c>
      <c r="B1147" t="s">
        <v>107</v>
      </c>
      <c r="C1147">
        <v>0.55000000000000004</v>
      </c>
      <c r="D1147" t="s">
        <v>51</v>
      </c>
      <c r="E1147" t="str">
        <f>VLOOKUP(D1147,mappings!A:B,2,FALSE)</f>
        <v>Healthcare</v>
      </c>
      <c r="F1147" t="s">
        <v>128</v>
      </c>
    </row>
    <row r="1148" spans="1:6" x14ac:dyDescent="0.25">
      <c r="A1148" t="s">
        <v>104</v>
      </c>
      <c r="B1148" t="s">
        <v>107</v>
      </c>
      <c r="C1148">
        <v>0.55000000000000004</v>
      </c>
      <c r="D1148" t="s">
        <v>90</v>
      </c>
      <c r="E1148" t="str">
        <f>VLOOKUP(D1148,mappings!A:B,2,FALSE)</f>
        <v>Marketing</v>
      </c>
      <c r="F1148" t="s">
        <v>128</v>
      </c>
    </row>
    <row r="1149" spans="1:6" x14ac:dyDescent="0.25">
      <c r="A1149" t="s">
        <v>104</v>
      </c>
      <c r="B1149" t="s">
        <v>107</v>
      </c>
      <c r="C1149">
        <v>0.55000000000000004</v>
      </c>
      <c r="D1149" t="s">
        <v>95</v>
      </c>
      <c r="E1149" t="str">
        <f>VLOOKUP(D1149,mappings!A:B,2,FALSE)</f>
        <v>STEM</v>
      </c>
      <c r="F1149" t="s">
        <v>128</v>
      </c>
    </row>
    <row r="1150" spans="1:6" x14ac:dyDescent="0.25">
      <c r="A1150" t="s">
        <v>104</v>
      </c>
      <c r="B1150" t="s">
        <v>107</v>
      </c>
      <c r="C1150">
        <v>0.55000000000000004</v>
      </c>
      <c r="D1150" t="s">
        <v>83</v>
      </c>
      <c r="E1150" t="str">
        <f>VLOOKUP(D1150,mappings!A:B,2,FALSE)</f>
        <v>Sales</v>
      </c>
      <c r="F1150" t="s">
        <v>128</v>
      </c>
    </row>
    <row r="1151" spans="1:6" x14ac:dyDescent="0.25">
      <c r="A1151" t="s">
        <v>104</v>
      </c>
      <c r="B1151" t="s">
        <v>107</v>
      </c>
      <c r="C1151">
        <v>0.55000000000000004</v>
      </c>
      <c r="D1151" t="s">
        <v>70</v>
      </c>
      <c r="E1151" t="str">
        <f>VLOOKUP(D1151,mappings!A:B,2,FALSE)</f>
        <v>Operations</v>
      </c>
      <c r="F1151" t="s">
        <v>128</v>
      </c>
    </row>
    <row r="1152" spans="1:6" x14ac:dyDescent="0.25">
      <c r="A1152" t="s">
        <v>104</v>
      </c>
      <c r="B1152" t="s">
        <v>107</v>
      </c>
      <c r="C1152">
        <v>0.55000000000000004</v>
      </c>
      <c r="D1152" t="s">
        <v>22</v>
      </c>
      <c r="E1152" t="str">
        <f>VLOOKUP(D1152,mappings!A:B,2,FALSE)</f>
        <v>Management</v>
      </c>
      <c r="F1152" t="s">
        <v>128</v>
      </c>
    </row>
    <row r="1153" spans="1:6" x14ac:dyDescent="0.25">
      <c r="A1153" t="s">
        <v>104</v>
      </c>
      <c r="B1153" t="s">
        <v>107</v>
      </c>
      <c r="C1153">
        <v>0.55000000000000004</v>
      </c>
      <c r="D1153" t="s">
        <v>44</v>
      </c>
      <c r="E1153" t="str">
        <f>VLOOKUP(D1153,mappings!A:B,2,FALSE)</f>
        <v>Healthcare</v>
      </c>
      <c r="F1153" t="s">
        <v>128</v>
      </c>
    </row>
    <row r="1154" spans="1:6" x14ac:dyDescent="0.25">
      <c r="A1154" t="s">
        <v>104</v>
      </c>
      <c r="B1154" t="s">
        <v>107</v>
      </c>
      <c r="C1154">
        <v>0.55000000000000004</v>
      </c>
      <c r="D1154" t="s">
        <v>71</v>
      </c>
      <c r="E1154" t="str">
        <f>VLOOKUP(D1154,mappings!A:B,2,FALSE)</f>
        <v>STEM</v>
      </c>
      <c r="F1154" t="s">
        <v>128</v>
      </c>
    </row>
    <row r="1155" spans="1:6" x14ac:dyDescent="0.25">
      <c r="A1155" t="s">
        <v>104</v>
      </c>
      <c r="B1155" t="s">
        <v>107</v>
      </c>
      <c r="C1155">
        <v>0.55000000000000004</v>
      </c>
      <c r="D1155" t="s">
        <v>30</v>
      </c>
      <c r="E1155" t="str">
        <f>VLOOKUP(D1155,mappings!A:B,2,FALSE)</f>
        <v>STEM</v>
      </c>
      <c r="F1155" t="s">
        <v>128</v>
      </c>
    </row>
    <row r="1156" spans="1:6" x14ac:dyDescent="0.25">
      <c r="A1156" t="s">
        <v>104</v>
      </c>
      <c r="B1156" t="s">
        <v>107</v>
      </c>
      <c r="C1156">
        <v>0.55000000000000004</v>
      </c>
      <c r="D1156" t="s">
        <v>39</v>
      </c>
      <c r="E1156" t="str">
        <f>VLOOKUP(D1156,mappings!A:B,2,FALSE)</f>
        <v>Administration</v>
      </c>
      <c r="F1156" t="s">
        <v>128</v>
      </c>
    </row>
    <row r="1157" spans="1:6" x14ac:dyDescent="0.25">
      <c r="A1157" t="s">
        <v>104</v>
      </c>
      <c r="B1157" t="s">
        <v>107</v>
      </c>
      <c r="C1157">
        <v>0.55000000000000004</v>
      </c>
      <c r="D1157" t="s">
        <v>78</v>
      </c>
      <c r="E1157" t="str">
        <f>VLOOKUP(D1157,mappings!A:B,2,FALSE)</f>
        <v>Hospitality</v>
      </c>
      <c r="F1157" t="s">
        <v>128</v>
      </c>
    </row>
    <row r="1158" spans="1:6" x14ac:dyDescent="0.25">
      <c r="A1158" t="s">
        <v>104</v>
      </c>
      <c r="B1158" t="s">
        <v>107</v>
      </c>
      <c r="C1158">
        <v>0.55000000000000004</v>
      </c>
      <c r="D1158" t="s">
        <v>28</v>
      </c>
      <c r="E1158" t="str">
        <f>VLOOKUP(D1158,mappings!A:B,2,FALSE)</f>
        <v>STEM</v>
      </c>
      <c r="F1158" t="s">
        <v>128</v>
      </c>
    </row>
    <row r="1159" spans="1:6" x14ac:dyDescent="0.25">
      <c r="A1159" t="s">
        <v>104</v>
      </c>
      <c r="B1159" t="s">
        <v>107</v>
      </c>
      <c r="C1159">
        <v>0.54</v>
      </c>
      <c r="D1159" t="s">
        <v>31</v>
      </c>
      <c r="E1159" t="str">
        <f>VLOOKUP(D1159,mappings!A:B,2,FALSE)</f>
        <v>STEM</v>
      </c>
      <c r="F1159" t="s">
        <v>128</v>
      </c>
    </row>
    <row r="1160" spans="1:6" x14ac:dyDescent="0.25">
      <c r="A1160" t="s">
        <v>104</v>
      </c>
      <c r="B1160" t="s">
        <v>107</v>
      </c>
      <c r="C1160">
        <v>0.54</v>
      </c>
      <c r="D1160" t="s">
        <v>45</v>
      </c>
      <c r="E1160" t="str">
        <f>VLOOKUP(D1160,mappings!A:B,2,FALSE)</f>
        <v>Administration</v>
      </c>
      <c r="F1160" t="s">
        <v>128</v>
      </c>
    </row>
    <row r="1161" spans="1:6" x14ac:dyDescent="0.25">
      <c r="A1161" t="s">
        <v>104</v>
      </c>
      <c r="B1161" t="s">
        <v>107</v>
      </c>
      <c r="C1161">
        <v>0.54</v>
      </c>
      <c r="D1161" t="s">
        <v>92</v>
      </c>
      <c r="E1161" t="str">
        <f>VLOOKUP(D1161,mappings!A:B,2,FALSE)</f>
        <v>Management</v>
      </c>
      <c r="F1161" t="s">
        <v>128</v>
      </c>
    </row>
    <row r="1162" spans="1:6" x14ac:dyDescent="0.25">
      <c r="A1162" t="s">
        <v>104</v>
      </c>
      <c r="B1162" t="s">
        <v>107</v>
      </c>
      <c r="C1162">
        <v>0.54</v>
      </c>
      <c r="D1162" t="s">
        <v>74</v>
      </c>
      <c r="E1162" t="str">
        <f>VLOOKUP(D1162,mappings!A:B,2,FALSE)</f>
        <v>Healthcare</v>
      </c>
      <c r="F1162" t="s">
        <v>128</v>
      </c>
    </row>
    <row r="1163" spans="1:6" x14ac:dyDescent="0.25">
      <c r="A1163" t="s">
        <v>104</v>
      </c>
      <c r="B1163" t="s">
        <v>107</v>
      </c>
      <c r="C1163">
        <v>0.54</v>
      </c>
      <c r="D1163" t="s">
        <v>93</v>
      </c>
      <c r="E1163" t="str">
        <f>VLOOKUP(D1163,mappings!A:B,2,FALSE)</f>
        <v>Legal</v>
      </c>
      <c r="F1163" t="s">
        <v>128</v>
      </c>
    </row>
    <row r="1164" spans="1:6" x14ac:dyDescent="0.25">
      <c r="A1164" t="s">
        <v>104</v>
      </c>
      <c r="B1164" t="s">
        <v>107</v>
      </c>
      <c r="C1164">
        <v>0.54</v>
      </c>
      <c r="D1164" t="s">
        <v>64</v>
      </c>
      <c r="E1164" t="str">
        <f>VLOOKUP(D1164,mappings!A:B,2,FALSE)</f>
        <v>STEM</v>
      </c>
      <c r="F1164" t="s">
        <v>128</v>
      </c>
    </row>
    <row r="1165" spans="1:6" x14ac:dyDescent="0.25">
      <c r="A1165" t="s">
        <v>104</v>
      </c>
      <c r="B1165" t="s">
        <v>107</v>
      </c>
      <c r="C1165">
        <v>0.54</v>
      </c>
      <c r="D1165" t="s">
        <v>56</v>
      </c>
      <c r="E1165" t="str">
        <f>VLOOKUP(D1165,mappings!A:B,2,FALSE)</f>
        <v>STEM</v>
      </c>
      <c r="F1165" t="s">
        <v>128</v>
      </c>
    </row>
    <row r="1166" spans="1:6" x14ac:dyDescent="0.25">
      <c r="A1166" t="s">
        <v>104</v>
      </c>
      <c r="B1166" t="s">
        <v>107</v>
      </c>
      <c r="C1166">
        <v>0.54</v>
      </c>
      <c r="D1166" t="s">
        <v>84</v>
      </c>
      <c r="E1166" t="str">
        <f>VLOOKUP(D1166,mappings!A:B,2,FALSE)</f>
        <v>Hospitality</v>
      </c>
      <c r="F1166" t="s">
        <v>128</v>
      </c>
    </row>
    <row r="1167" spans="1:6" x14ac:dyDescent="0.25">
      <c r="A1167" t="s">
        <v>104</v>
      </c>
      <c r="B1167" t="s">
        <v>107</v>
      </c>
      <c r="C1167">
        <v>0.54</v>
      </c>
      <c r="D1167" t="s">
        <v>58</v>
      </c>
      <c r="E1167" t="str">
        <f>VLOOKUP(D1167,mappings!A:B,2,FALSE)</f>
        <v>Education</v>
      </c>
      <c r="F1167" t="s">
        <v>128</v>
      </c>
    </row>
    <row r="1168" spans="1:6" x14ac:dyDescent="0.25">
      <c r="A1168" t="s">
        <v>104</v>
      </c>
      <c r="B1168" t="s">
        <v>107</v>
      </c>
      <c r="C1168">
        <v>0.54</v>
      </c>
      <c r="D1168" t="s">
        <v>63</v>
      </c>
      <c r="E1168" t="str">
        <f>VLOOKUP(D1168,mappings!A:B,2,FALSE)</f>
        <v>Finance</v>
      </c>
      <c r="F1168" t="s">
        <v>128</v>
      </c>
    </row>
    <row r="1169" spans="1:6" x14ac:dyDescent="0.25">
      <c r="A1169" t="s">
        <v>104</v>
      </c>
      <c r="B1169" t="s">
        <v>107</v>
      </c>
      <c r="C1169">
        <v>0.54</v>
      </c>
      <c r="D1169" t="s">
        <v>73</v>
      </c>
      <c r="E1169" t="str">
        <f>VLOOKUP(D1169,mappings!A:B,2,FALSE)</f>
        <v>Finance</v>
      </c>
      <c r="F1169" t="s">
        <v>128</v>
      </c>
    </row>
    <row r="1170" spans="1:6" x14ac:dyDescent="0.25">
      <c r="A1170" t="s">
        <v>104</v>
      </c>
      <c r="B1170" t="s">
        <v>107</v>
      </c>
      <c r="C1170">
        <v>0.54</v>
      </c>
      <c r="D1170" t="s">
        <v>36</v>
      </c>
      <c r="E1170" t="str">
        <f>VLOOKUP(D1170,mappings!A:B,2,FALSE)</f>
        <v>Healthcare</v>
      </c>
      <c r="F1170" t="s">
        <v>128</v>
      </c>
    </row>
    <row r="1171" spans="1:6" x14ac:dyDescent="0.25">
      <c r="A1171" t="s">
        <v>104</v>
      </c>
      <c r="B1171" t="s">
        <v>107</v>
      </c>
      <c r="C1171">
        <v>0.54</v>
      </c>
      <c r="D1171" t="s">
        <v>77</v>
      </c>
      <c r="E1171" t="str">
        <f>VLOOKUP(D1171,mappings!A:B,2,FALSE)</f>
        <v>Legal</v>
      </c>
      <c r="F1171" t="s">
        <v>128</v>
      </c>
    </row>
    <row r="1172" spans="1:6" x14ac:dyDescent="0.25">
      <c r="A1172" t="s">
        <v>104</v>
      </c>
      <c r="B1172" t="s">
        <v>107</v>
      </c>
      <c r="C1172">
        <v>0.54</v>
      </c>
      <c r="D1172" t="s">
        <v>100</v>
      </c>
      <c r="E1172" t="str">
        <f>VLOOKUP(D1172,mappings!A:B,2,FALSE)</f>
        <v>Management</v>
      </c>
      <c r="F1172" t="s">
        <v>128</v>
      </c>
    </row>
    <row r="1173" spans="1:6" x14ac:dyDescent="0.25">
      <c r="A1173" t="s">
        <v>104</v>
      </c>
      <c r="B1173" t="s">
        <v>107</v>
      </c>
      <c r="C1173">
        <v>0.54</v>
      </c>
      <c r="D1173" t="s">
        <v>9</v>
      </c>
      <c r="E1173" t="str">
        <f>VLOOKUP(D1173,mappings!A:B,2,FALSE)</f>
        <v>Education</v>
      </c>
      <c r="F1173" t="s">
        <v>128</v>
      </c>
    </row>
    <row r="1174" spans="1:6" x14ac:dyDescent="0.25">
      <c r="A1174" t="s">
        <v>104</v>
      </c>
      <c r="B1174" t="s">
        <v>107</v>
      </c>
      <c r="C1174">
        <v>0.54</v>
      </c>
      <c r="D1174" t="s">
        <v>65</v>
      </c>
      <c r="E1174" t="str">
        <f>VLOOKUP(D1174,mappings!A:B,2,FALSE)</f>
        <v>Management</v>
      </c>
      <c r="F1174" t="s">
        <v>128</v>
      </c>
    </row>
    <row r="1175" spans="1:6" x14ac:dyDescent="0.25">
      <c r="A1175" t="s">
        <v>104</v>
      </c>
      <c r="B1175" t="s">
        <v>107</v>
      </c>
      <c r="C1175">
        <v>0.54</v>
      </c>
      <c r="D1175" t="s">
        <v>80</v>
      </c>
      <c r="E1175" t="str">
        <f>VLOOKUP(D1175,mappings!A:B,2,FALSE)</f>
        <v>Hospitality</v>
      </c>
      <c r="F1175" t="s">
        <v>128</v>
      </c>
    </row>
    <row r="1176" spans="1:6" x14ac:dyDescent="0.25">
      <c r="A1176" t="s">
        <v>104</v>
      </c>
      <c r="B1176" t="s">
        <v>107</v>
      </c>
      <c r="C1176">
        <v>0.54</v>
      </c>
      <c r="D1176" t="s">
        <v>46</v>
      </c>
      <c r="E1176" t="str">
        <f>VLOOKUP(D1176,mappings!A:B,2,FALSE)</f>
        <v>STEM</v>
      </c>
      <c r="F1176" t="s">
        <v>128</v>
      </c>
    </row>
    <row r="1177" spans="1:6" x14ac:dyDescent="0.25">
      <c r="A1177" t="s">
        <v>104</v>
      </c>
      <c r="B1177" t="s">
        <v>107</v>
      </c>
      <c r="C1177">
        <v>0.54</v>
      </c>
      <c r="D1177" t="s">
        <v>81</v>
      </c>
      <c r="E1177" t="str">
        <f>VLOOKUP(D1177,mappings!A:B,2,FALSE)</f>
        <v>Legal</v>
      </c>
      <c r="F1177" t="s">
        <v>128</v>
      </c>
    </row>
    <row r="1178" spans="1:6" x14ac:dyDescent="0.25">
      <c r="A1178" t="s">
        <v>104</v>
      </c>
      <c r="B1178" t="s">
        <v>107</v>
      </c>
      <c r="C1178">
        <v>0.54</v>
      </c>
      <c r="D1178" t="s">
        <v>79</v>
      </c>
      <c r="E1178" t="str">
        <f>VLOOKUP(D1178,mappings!A:B,2,FALSE)</f>
        <v>Marketing</v>
      </c>
      <c r="F1178" t="s">
        <v>128</v>
      </c>
    </row>
    <row r="1179" spans="1:6" x14ac:dyDescent="0.25">
      <c r="A1179" t="s">
        <v>104</v>
      </c>
      <c r="B1179" t="s">
        <v>107</v>
      </c>
      <c r="C1179">
        <v>0.54</v>
      </c>
      <c r="D1179" t="s">
        <v>96</v>
      </c>
      <c r="E1179" t="str">
        <f>VLOOKUP(D1179,mappings!A:B,2,FALSE)</f>
        <v>Sales</v>
      </c>
      <c r="F1179" t="s">
        <v>128</v>
      </c>
    </row>
    <row r="1180" spans="1:6" x14ac:dyDescent="0.25">
      <c r="A1180" t="s">
        <v>104</v>
      </c>
      <c r="B1180" t="s">
        <v>107</v>
      </c>
      <c r="C1180">
        <v>0.54</v>
      </c>
      <c r="D1180" t="s">
        <v>12</v>
      </c>
      <c r="E1180" t="str">
        <f>VLOOKUP(D1180,mappings!A:B,2,FALSE)</f>
        <v>STEM</v>
      </c>
      <c r="F1180" t="s">
        <v>128</v>
      </c>
    </row>
    <row r="1181" spans="1:6" x14ac:dyDescent="0.25">
      <c r="A1181" t="s">
        <v>104</v>
      </c>
      <c r="B1181" t="s">
        <v>107</v>
      </c>
      <c r="C1181">
        <v>0.53</v>
      </c>
      <c r="D1181" t="s">
        <v>94</v>
      </c>
      <c r="E1181" t="str">
        <f>VLOOKUP(D1181,mappings!A:B,2,FALSE)</f>
        <v>Management</v>
      </c>
      <c r="F1181" t="s">
        <v>128</v>
      </c>
    </row>
    <row r="1182" spans="1:6" x14ac:dyDescent="0.25">
      <c r="A1182" t="s">
        <v>104</v>
      </c>
      <c r="B1182" t="s">
        <v>107</v>
      </c>
      <c r="C1182">
        <v>0.53</v>
      </c>
      <c r="D1182" t="s">
        <v>8</v>
      </c>
      <c r="E1182" t="str">
        <f>VLOOKUP(D1182,mappings!A:B,2,FALSE)</f>
        <v>Healthcare</v>
      </c>
      <c r="F1182" t="s">
        <v>128</v>
      </c>
    </row>
    <row r="1183" spans="1:6" x14ac:dyDescent="0.25">
      <c r="A1183" t="s">
        <v>104</v>
      </c>
      <c r="B1183" t="s">
        <v>107</v>
      </c>
      <c r="C1183">
        <v>0.53</v>
      </c>
      <c r="D1183" t="s">
        <v>86</v>
      </c>
      <c r="E1183" t="str">
        <f>VLOOKUP(D1183,mappings!A:B,2,FALSE)</f>
        <v>Finance</v>
      </c>
      <c r="F1183" t="s">
        <v>128</v>
      </c>
    </row>
    <row r="1184" spans="1:6" x14ac:dyDescent="0.25">
      <c r="A1184" t="s">
        <v>104</v>
      </c>
      <c r="B1184" t="s">
        <v>107</v>
      </c>
      <c r="C1184">
        <v>0.53</v>
      </c>
      <c r="D1184" t="s">
        <v>87</v>
      </c>
      <c r="E1184" t="str">
        <f>VLOOKUP(D1184,mappings!A:B,2,FALSE)</f>
        <v>Trades</v>
      </c>
      <c r="F1184" t="s">
        <v>128</v>
      </c>
    </row>
    <row r="1185" spans="1:6" x14ac:dyDescent="0.25">
      <c r="A1185" t="s">
        <v>104</v>
      </c>
      <c r="B1185" t="s">
        <v>107</v>
      </c>
      <c r="C1185">
        <v>0.53</v>
      </c>
      <c r="D1185" t="s">
        <v>89</v>
      </c>
      <c r="E1185" t="str">
        <f>VLOOKUP(D1185,mappings!A:B,2,FALSE)</f>
        <v>Finance</v>
      </c>
      <c r="F1185" t="s">
        <v>128</v>
      </c>
    </row>
    <row r="1186" spans="1:6" x14ac:dyDescent="0.25">
      <c r="A1186" t="s">
        <v>104</v>
      </c>
      <c r="B1186" t="s">
        <v>107</v>
      </c>
      <c r="C1186">
        <v>0.53</v>
      </c>
      <c r="D1186" t="s">
        <v>29</v>
      </c>
      <c r="E1186" t="str">
        <f>VLOOKUP(D1186,mappings!A:B,2,FALSE)</f>
        <v>Creative</v>
      </c>
      <c r="F1186" t="s">
        <v>128</v>
      </c>
    </row>
    <row r="1187" spans="1:6" x14ac:dyDescent="0.25">
      <c r="A1187" t="s">
        <v>104</v>
      </c>
      <c r="B1187" t="s">
        <v>107</v>
      </c>
      <c r="C1187">
        <v>0.53</v>
      </c>
      <c r="D1187" t="s">
        <v>103</v>
      </c>
      <c r="E1187" t="str">
        <f>VLOOKUP(D1187,mappings!A:B,2,FALSE)</f>
        <v>Healthcare</v>
      </c>
      <c r="F1187" t="s">
        <v>128</v>
      </c>
    </row>
    <row r="1188" spans="1:6" x14ac:dyDescent="0.25">
      <c r="A1188" t="s">
        <v>104</v>
      </c>
      <c r="B1188" t="s">
        <v>107</v>
      </c>
      <c r="C1188">
        <v>0.53</v>
      </c>
      <c r="D1188" t="s">
        <v>55</v>
      </c>
      <c r="E1188" t="str">
        <f>VLOOKUP(D1188,mappings!A:B,2,FALSE)</f>
        <v>Human Resources</v>
      </c>
      <c r="F1188" t="s">
        <v>128</v>
      </c>
    </row>
    <row r="1189" spans="1:6" x14ac:dyDescent="0.25">
      <c r="A1189" t="s">
        <v>104</v>
      </c>
      <c r="B1189" t="s">
        <v>107</v>
      </c>
      <c r="C1189">
        <v>0.53</v>
      </c>
      <c r="D1189" t="s">
        <v>88</v>
      </c>
      <c r="E1189" t="str">
        <f>VLOOKUP(D1189,mappings!A:B,2,FALSE)</f>
        <v>Healthcare</v>
      </c>
      <c r="F1189" t="s">
        <v>128</v>
      </c>
    </row>
    <row r="1190" spans="1:6" x14ac:dyDescent="0.25">
      <c r="A1190" t="s">
        <v>104</v>
      </c>
      <c r="B1190" t="s">
        <v>107</v>
      </c>
      <c r="C1190">
        <v>0.53</v>
      </c>
      <c r="D1190" t="s">
        <v>82</v>
      </c>
      <c r="E1190" t="str">
        <f>VLOOKUP(D1190,mappings!A:B,2,FALSE)</f>
        <v>STEM</v>
      </c>
      <c r="F1190" t="s">
        <v>128</v>
      </c>
    </row>
    <row r="1191" spans="1:6" x14ac:dyDescent="0.25">
      <c r="A1191" t="s">
        <v>104</v>
      </c>
      <c r="B1191" t="s">
        <v>107</v>
      </c>
      <c r="C1191">
        <v>0.53</v>
      </c>
      <c r="D1191" t="s">
        <v>98</v>
      </c>
      <c r="E1191" t="str">
        <f>VLOOKUP(D1191,mappings!A:B,2,FALSE)</f>
        <v>STEM</v>
      </c>
      <c r="F1191" t="s">
        <v>128</v>
      </c>
    </row>
    <row r="1192" spans="1:6" x14ac:dyDescent="0.25">
      <c r="A1192" t="s">
        <v>104</v>
      </c>
      <c r="B1192" t="s">
        <v>107</v>
      </c>
      <c r="C1192">
        <v>0.53</v>
      </c>
      <c r="D1192" t="s">
        <v>54</v>
      </c>
      <c r="E1192" t="str">
        <f>VLOOKUP(D1192,mappings!A:B,2,FALSE)</f>
        <v>Marketing</v>
      </c>
      <c r="F1192" t="s">
        <v>128</v>
      </c>
    </row>
    <row r="1193" spans="1:6" x14ac:dyDescent="0.25">
      <c r="A1193" t="s">
        <v>104</v>
      </c>
      <c r="B1193" t="s">
        <v>107</v>
      </c>
      <c r="C1193">
        <v>0.52</v>
      </c>
      <c r="D1193" t="s">
        <v>62</v>
      </c>
      <c r="E1193" t="str">
        <f>VLOOKUP(D1193,mappings!A:B,2,FALSE)</f>
        <v>Marketing</v>
      </c>
      <c r="F1193" t="s">
        <v>128</v>
      </c>
    </row>
    <row r="1194" spans="1:6" x14ac:dyDescent="0.25">
      <c r="A1194" t="s">
        <v>104</v>
      </c>
      <c r="B1194" t="s">
        <v>107</v>
      </c>
      <c r="C1194">
        <v>0.52</v>
      </c>
      <c r="D1194" t="s">
        <v>97</v>
      </c>
      <c r="E1194" t="str">
        <f>VLOOKUP(D1194,mappings!A:B,2,FALSE)</f>
        <v>STEM</v>
      </c>
      <c r="F1194" t="s">
        <v>128</v>
      </c>
    </row>
    <row r="1195" spans="1:6" x14ac:dyDescent="0.25">
      <c r="A1195" t="s">
        <v>104</v>
      </c>
      <c r="B1195" t="s">
        <v>107</v>
      </c>
      <c r="C1195">
        <v>0.52</v>
      </c>
      <c r="D1195" t="s">
        <v>67</v>
      </c>
      <c r="E1195" t="str">
        <f>VLOOKUP(D1195,mappings!A:B,2,FALSE)</f>
        <v>Finance</v>
      </c>
      <c r="F1195" t="s">
        <v>128</v>
      </c>
    </row>
    <row r="1196" spans="1:6" x14ac:dyDescent="0.25">
      <c r="A1196" t="s">
        <v>104</v>
      </c>
      <c r="B1196" t="s">
        <v>107</v>
      </c>
      <c r="C1196">
        <v>0.51</v>
      </c>
      <c r="D1196" t="s">
        <v>69</v>
      </c>
      <c r="E1196" t="str">
        <f>VLOOKUP(D1196,mappings!A:B,2,FALSE)</f>
        <v>Hospitality</v>
      </c>
      <c r="F1196" t="s">
        <v>128</v>
      </c>
    </row>
    <row r="1197" spans="1:6" x14ac:dyDescent="0.25">
      <c r="A1197" t="s">
        <v>104</v>
      </c>
      <c r="B1197" t="s">
        <v>107</v>
      </c>
      <c r="C1197">
        <v>0.51</v>
      </c>
      <c r="D1197" t="s">
        <v>66</v>
      </c>
      <c r="E1197" t="str">
        <f>VLOOKUP(D1197,mappings!A:B,2,FALSE)</f>
        <v>Healthcare</v>
      </c>
      <c r="F1197" t="s">
        <v>128</v>
      </c>
    </row>
    <row r="1198" spans="1:6" x14ac:dyDescent="0.25">
      <c r="A1198" t="s">
        <v>104</v>
      </c>
      <c r="B1198" t="s">
        <v>107</v>
      </c>
      <c r="C1198">
        <v>0.51</v>
      </c>
      <c r="D1198" t="s">
        <v>102</v>
      </c>
      <c r="E1198" t="str">
        <f>VLOOKUP(D1198,mappings!A:B,2,FALSE)</f>
        <v>Operations</v>
      </c>
      <c r="F1198" t="s">
        <v>128</v>
      </c>
    </row>
    <row r="1199" spans="1:6" x14ac:dyDescent="0.25">
      <c r="A1199" t="s">
        <v>104</v>
      </c>
      <c r="B1199" t="s">
        <v>107</v>
      </c>
      <c r="C1199">
        <v>0.51</v>
      </c>
      <c r="D1199" t="s">
        <v>99</v>
      </c>
      <c r="E1199" t="str">
        <f>VLOOKUP(D1199,mappings!A:B,2,FALSE)</f>
        <v>Operations</v>
      </c>
      <c r="F1199" t="s">
        <v>128</v>
      </c>
    </row>
    <row r="1200" spans="1:6" x14ac:dyDescent="0.25">
      <c r="A1200" t="s">
        <v>104</v>
      </c>
      <c r="B1200" t="s">
        <v>107</v>
      </c>
      <c r="C1200">
        <v>0.51</v>
      </c>
      <c r="D1200" t="s">
        <v>101</v>
      </c>
      <c r="E1200" t="str">
        <f>VLOOKUP(D1200,mappings!A:B,2,FALSE)</f>
        <v>Healthcare</v>
      </c>
      <c r="F1200" t="s">
        <v>128</v>
      </c>
    </row>
    <row r="1201" spans="1:6" x14ac:dyDescent="0.25">
      <c r="A1201" t="s">
        <v>104</v>
      </c>
      <c r="B1201" t="s">
        <v>107</v>
      </c>
      <c r="C1201">
        <v>0.5</v>
      </c>
      <c r="D1201" t="s">
        <v>53</v>
      </c>
      <c r="E1201" t="str">
        <f>VLOOKUP(D1201,mappings!A:B,2,FALSE)</f>
        <v>Healthcare</v>
      </c>
      <c r="F1201" t="s">
        <v>128</v>
      </c>
    </row>
  </sheetData>
  <autoFilter ref="A1:F1201" xr:uid="{B4E9B30B-594A-4D7E-A31C-50BA8F68635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725D8-1855-4E5E-A619-2F5C66546339}">
  <dimension ref="A1:B101"/>
  <sheetViews>
    <sheetView workbookViewId="0">
      <selection activeCell="H9" sqref="H9"/>
    </sheetView>
  </sheetViews>
  <sheetFormatPr defaultRowHeight="15" x14ac:dyDescent="0.25"/>
  <cols>
    <col min="1" max="1" width="26.85546875" bestFit="1" customWidth="1"/>
    <col min="2" max="2" width="17.28515625" bestFit="1" customWidth="1"/>
  </cols>
  <sheetData>
    <row r="1" spans="1:2" x14ac:dyDescent="0.25">
      <c r="A1" t="s">
        <v>2</v>
      </c>
      <c r="B1" t="s">
        <v>110</v>
      </c>
    </row>
    <row r="2" spans="1:2" x14ac:dyDescent="0.25">
      <c r="A2" t="s">
        <v>27</v>
      </c>
      <c r="B2" t="s">
        <v>113</v>
      </c>
    </row>
    <row r="3" spans="1:2" x14ac:dyDescent="0.25">
      <c r="A3" t="s">
        <v>22</v>
      </c>
      <c r="B3" t="s">
        <v>113</v>
      </c>
    </row>
    <row r="4" spans="1:2" x14ac:dyDescent="0.25">
      <c r="A4" t="s">
        <v>92</v>
      </c>
      <c r="B4" t="s">
        <v>113</v>
      </c>
    </row>
    <row r="5" spans="1:2" x14ac:dyDescent="0.25">
      <c r="A5" t="s">
        <v>65</v>
      </c>
      <c r="B5" t="s">
        <v>113</v>
      </c>
    </row>
    <row r="6" spans="1:2" x14ac:dyDescent="0.25">
      <c r="A6" t="s">
        <v>94</v>
      </c>
      <c r="B6" t="s">
        <v>113</v>
      </c>
    </row>
    <row r="7" spans="1:2" x14ac:dyDescent="0.25">
      <c r="A7" t="s">
        <v>8</v>
      </c>
      <c r="B7" t="s">
        <v>114</v>
      </c>
    </row>
    <row r="8" spans="1:2" x14ac:dyDescent="0.25">
      <c r="A8" t="s">
        <v>42</v>
      </c>
      <c r="B8" t="s">
        <v>114</v>
      </c>
    </row>
    <row r="9" spans="1:2" x14ac:dyDescent="0.25">
      <c r="A9" t="s">
        <v>26</v>
      </c>
      <c r="B9" t="s">
        <v>114</v>
      </c>
    </row>
    <row r="10" spans="1:2" x14ac:dyDescent="0.25">
      <c r="A10" t="s">
        <v>66</v>
      </c>
      <c r="B10" t="s">
        <v>114</v>
      </c>
    </row>
    <row r="11" spans="1:2" x14ac:dyDescent="0.25">
      <c r="A11" t="s">
        <v>53</v>
      </c>
      <c r="B11" t="s">
        <v>114</v>
      </c>
    </row>
    <row r="12" spans="1:2" x14ac:dyDescent="0.25">
      <c r="A12" t="s">
        <v>49</v>
      </c>
      <c r="B12" t="s">
        <v>114</v>
      </c>
    </row>
    <row r="13" spans="1:2" x14ac:dyDescent="0.25">
      <c r="A13" t="s">
        <v>88</v>
      </c>
      <c r="B13" t="s">
        <v>114</v>
      </c>
    </row>
    <row r="14" spans="1:2" x14ac:dyDescent="0.25">
      <c r="A14" t="s">
        <v>44</v>
      </c>
      <c r="B14" t="s">
        <v>114</v>
      </c>
    </row>
    <row r="15" spans="1:2" x14ac:dyDescent="0.25">
      <c r="A15" t="s">
        <v>74</v>
      </c>
      <c r="B15" t="s">
        <v>114</v>
      </c>
    </row>
    <row r="16" spans="1:2" x14ac:dyDescent="0.25">
      <c r="A16" t="s">
        <v>103</v>
      </c>
      <c r="B16" t="s">
        <v>114</v>
      </c>
    </row>
    <row r="17" spans="1:2" x14ac:dyDescent="0.25">
      <c r="A17" t="s">
        <v>73</v>
      </c>
      <c r="B17" t="s">
        <v>115</v>
      </c>
    </row>
    <row r="18" spans="1:2" x14ac:dyDescent="0.25">
      <c r="A18" t="s">
        <v>18</v>
      </c>
      <c r="B18" t="s">
        <v>115</v>
      </c>
    </row>
    <row r="19" spans="1:2" x14ac:dyDescent="0.25">
      <c r="A19" t="s">
        <v>19</v>
      </c>
      <c r="B19" t="s">
        <v>115</v>
      </c>
    </row>
    <row r="20" spans="1:2" x14ac:dyDescent="0.25">
      <c r="A20" t="s">
        <v>16</v>
      </c>
      <c r="B20" t="s">
        <v>115</v>
      </c>
    </row>
    <row r="21" spans="1:2" x14ac:dyDescent="0.25">
      <c r="A21" t="s">
        <v>91</v>
      </c>
      <c r="B21" t="s">
        <v>115</v>
      </c>
    </row>
    <row r="22" spans="1:2" x14ac:dyDescent="0.25">
      <c r="A22" t="s">
        <v>57</v>
      </c>
      <c r="B22" t="s">
        <v>115</v>
      </c>
    </row>
    <row r="23" spans="1:2" x14ac:dyDescent="0.25">
      <c r="A23" t="s">
        <v>60</v>
      </c>
      <c r="B23" t="s">
        <v>115</v>
      </c>
    </row>
    <row r="24" spans="1:2" x14ac:dyDescent="0.25">
      <c r="A24" t="s">
        <v>86</v>
      </c>
      <c r="B24" t="s">
        <v>115</v>
      </c>
    </row>
    <row r="25" spans="1:2" x14ac:dyDescent="0.25">
      <c r="A25" t="s">
        <v>67</v>
      </c>
      <c r="B25" t="s">
        <v>115</v>
      </c>
    </row>
    <row r="26" spans="1:2" x14ac:dyDescent="0.25">
      <c r="A26" t="s">
        <v>63</v>
      </c>
      <c r="B26" t="s">
        <v>115</v>
      </c>
    </row>
    <row r="27" spans="1:2" x14ac:dyDescent="0.25">
      <c r="A27" t="s">
        <v>40</v>
      </c>
      <c r="B27" t="s">
        <v>116</v>
      </c>
    </row>
    <row r="28" spans="1:2" x14ac:dyDescent="0.25">
      <c r="A28" t="s">
        <v>68</v>
      </c>
      <c r="B28" t="s">
        <v>116</v>
      </c>
    </row>
    <row r="29" spans="1:2" x14ac:dyDescent="0.25">
      <c r="A29" t="s">
        <v>75</v>
      </c>
      <c r="B29" t="s">
        <v>116</v>
      </c>
    </row>
    <row r="30" spans="1:2" x14ac:dyDescent="0.25">
      <c r="A30" t="s">
        <v>71</v>
      </c>
      <c r="B30" t="s">
        <v>116</v>
      </c>
    </row>
    <row r="31" spans="1:2" x14ac:dyDescent="0.25">
      <c r="A31" t="s">
        <v>97</v>
      </c>
      <c r="B31" t="s">
        <v>116</v>
      </c>
    </row>
    <row r="32" spans="1:2" x14ac:dyDescent="0.25">
      <c r="A32" t="s">
        <v>48</v>
      </c>
      <c r="B32" t="s">
        <v>116</v>
      </c>
    </row>
    <row r="33" spans="1:2" x14ac:dyDescent="0.25">
      <c r="A33" t="s">
        <v>28</v>
      </c>
      <c r="B33" t="s">
        <v>116</v>
      </c>
    </row>
    <row r="34" spans="1:2" x14ac:dyDescent="0.25">
      <c r="A34" t="s">
        <v>64</v>
      </c>
      <c r="B34" t="s">
        <v>116</v>
      </c>
    </row>
    <row r="35" spans="1:2" x14ac:dyDescent="0.25">
      <c r="A35" t="s">
        <v>82</v>
      </c>
      <c r="B35" t="s">
        <v>116</v>
      </c>
    </row>
    <row r="36" spans="1:2" x14ac:dyDescent="0.25">
      <c r="A36" t="s">
        <v>30</v>
      </c>
      <c r="B36" t="s">
        <v>116</v>
      </c>
    </row>
    <row r="37" spans="1:2" x14ac:dyDescent="0.25">
      <c r="A37" t="s">
        <v>98</v>
      </c>
      <c r="B37" t="s">
        <v>116</v>
      </c>
    </row>
    <row r="38" spans="1:2" x14ac:dyDescent="0.25">
      <c r="A38" t="s">
        <v>14</v>
      </c>
      <c r="B38" t="s">
        <v>117</v>
      </c>
    </row>
    <row r="39" spans="1:2" x14ac:dyDescent="0.25">
      <c r="A39" t="s">
        <v>29</v>
      </c>
      <c r="B39" t="s">
        <v>117</v>
      </c>
    </row>
    <row r="40" spans="1:2" x14ac:dyDescent="0.25">
      <c r="A40" t="s">
        <v>43</v>
      </c>
      <c r="B40" t="s">
        <v>113</v>
      </c>
    </row>
    <row r="41" spans="1:2" x14ac:dyDescent="0.25">
      <c r="A41" t="s">
        <v>100</v>
      </c>
      <c r="B41" t="s">
        <v>113</v>
      </c>
    </row>
    <row r="42" spans="1:2" x14ac:dyDescent="0.25">
      <c r="A42" t="s">
        <v>31</v>
      </c>
      <c r="B42" t="s">
        <v>116</v>
      </c>
    </row>
    <row r="43" spans="1:2" x14ac:dyDescent="0.25">
      <c r="A43" t="s">
        <v>34</v>
      </c>
      <c r="B43" t="s">
        <v>116</v>
      </c>
    </row>
    <row r="44" spans="1:2" x14ac:dyDescent="0.25">
      <c r="A44" t="s">
        <v>46</v>
      </c>
      <c r="B44" t="s">
        <v>116</v>
      </c>
    </row>
    <row r="45" spans="1:2" x14ac:dyDescent="0.25">
      <c r="A45" t="s">
        <v>72</v>
      </c>
      <c r="B45" t="s">
        <v>116</v>
      </c>
    </row>
    <row r="46" spans="1:2" x14ac:dyDescent="0.25">
      <c r="A46" t="s">
        <v>56</v>
      </c>
      <c r="B46" t="s">
        <v>116</v>
      </c>
    </row>
    <row r="47" spans="1:2" x14ac:dyDescent="0.25">
      <c r="A47" t="s">
        <v>85</v>
      </c>
      <c r="B47" t="s">
        <v>116</v>
      </c>
    </row>
    <row r="48" spans="1:2" x14ac:dyDescent="0.25">
      <c r="A48" t="s">
        <v>95</v>
      </c>
      <c r="B48" t="s">
        <v>116</v>
      </c>
    </row>
    <row r="49" spans="1:2" x14ac:dyDescent="0.25">
      <c r="A49" t="s">
        <v>87</v>
      </c>
      <c r="B49" t="s">
        <v>118</v>
      </c>
    </row>
    <row r="50" spans="1:2" x14ac:dyDescent="0.25">
      <c r="A50" t="s">
        <v>15</v>
      </c>
      <c r="B50" t="s">
        <v>118</v>
      </c>
    </row>
    <row r="51" spans="1:2" x14ac:dyDescent="0.25">
      <c r="A51" t="s">
        <v>21</v>
      </c>
      <c r="B51" t="s">
        <v>118</v>
      </c>
    </row>
    <row r="52" spans="1:2" x14ac:dyDescent="0.25">
      <c r="A52" t="s">
        <v>47</v>
      </c>
      <c r="B52" t="s">
        <v>119</v>
      </c>
    </row>
    <row r="53" spans="1:2" x14ac:dyDescent="0.25">
      <c r="A53" t="s">
        <v>93</v>
      </c>
      <c r="B53" t="s">
        <v>119</v>
      </c>
    </row>
    <row r="54" spans="1:2" x14ac:dyDescent="0.25">
      <c r="A54" t="s">
        <v>7</v>
      </c>
      <c r="B54" t="s">
        <v>119</v>
      </c>
    </row>
    <row r="55" spans="1:2" x14ac:dyDescent="0.25">
      <c r="A55" t="s">
        <v>81</v>
      </c>
      <c r="B55" t="s">
        <v>119</v>
      </c>
    </row>
    <row r="56" spans="1:2" x14ac:dyDescent="0.25">
      <c r="A56" t="s">
        <v>77</v>
      </c>
      <c r="B56" t="s">
        <v>119</v>
      </c>
    </row>
    <row r="57" spans="1:2" x14ac:dyDescent="0.25">
      <c r="A57" t="s">
        <v>24</v>
      </c>
      <c r="B57" t="s">
        <v>120</v>
      </c>
    </row>
    <row r="58" spans="1:2" x14ac:dyDescent="0.25">
      <c r="A58" t="s">
        <v>9</v>
      </c>
      <c r="B58" t="s">
        <v>120</v>
      </c>
    </row>
    <row r="59" spans="1:2" x14ac:dyDescent="0.25">
      <c r="A59" t="s">
        <v>35</v>
      </c>
      <c r="B59" t="s">
        <v>120</v>
      </c>
    </row>
    <row r="60" spans="1:2" x14ac:dyDescent="0.25">
      <c r="A60" t="s">
        <v>33</v>
      </c>
      <c r="B60" t="s">
        <v>120</v>
      </c>
    </row>
    <row r="61" spans="1:2" x14ac:dyDescent="0.25">
      <c r="A61" t="s">
        <v>58</v>
      </c>
      <c r="B61" t="s">
        <v>120</v>
      </c>
    </row>
    <row r="62" spans="1:2" x14ac:dyDescent="0.25">
      <c r="A62" t="s">
        <v>50</v>
      </c>
      <c r="B62" t="s">
        <v>120</v>
      </c>
    </row>
    <row r="63" spans="1:2" x14ac:dyDescent="0.25">
      <c r="A63" t="s">
        <v>25</v>
      </c>
      <c r="B63" t="s">
        <v>117</v>
      </c>
    </row>
    <row r="64" spans="1:2" x14ac:dyDescent="0.25">
      <c r="A64" t="s">
        <v>23</v>
      </c>
      <c r="B64" t="s">
        <v>117</v>
      </c>
    </row>
    <row r="65" spans="1:2" x14ac:dyDescent="0.25">
      <c r="A65" t="s">
        <v>4</v>
      </c>
      <c r="B65" t="s">
        <v>117</v>
      </c>
    </row>
    <row r="66" spans="1:2" x14ac:dyDescent="0.25">
      <c r="A66" t="s">
        <v>90</v>
      </c>
      <c r="B66" t="s">
        <v>121</v>
      </c>
    </row>
    <row r="67" spans="1:2" x14ac:dyDescent="0.25">
      <c r="A67" t="s">
        <v>62</v>
      </c>
      <c r="B67" t="s">
        <v>121</v>
      </c>
    </row>
    <row r="68" spans="1:2" x14ac:dyDescent="0.25">
      <c r="A68" t="s">
        <v>54</v>
      </c>
      <c r="B68" t="s">
        <v>121</v>
      </c>
    </row>
    <row r="69" spans="1:2" x14ac:dyDescent="0.25">
      <c r="A69" t="s">
        <v>37</v>
      </c>
      <c r="B69" t="s">
        <v>121</v>
      </c>
    </row>
    <row r="70" spans="1:2" x14ac:dyDescent="0.25">
      <c r="A70" t="s">
        <v>79</v>
      </c>
      <c r="B70" t="s">
        <v>121</v>
      </c>
    </row>
    <row r="71" spans="1:2" x14ac:dyDescent="0.25">
      <c r="A71" t="s">
        <v>83</v>
      </c>
      <c r="B71" t="s">
        <v>122</v>
      </c>
    </row>
    <row r="72" spans="1:2" x14ac:dyDescent="0.25">
      <c r="A72" t="s">
        <v>96</v>
      </c>
      <c r="B72" t="s">
        <v>122</v>
      </c>
    </row>
    <row r="73" spans="1:2" x14ac:dyDescent="0.25">
      <c r="A73" t="s">
        <v>17</v>
      </c>
      <c r="B73" t="s">
        <v>122</v>
      </c>
    </row>
    <row r="74" spans="1:2" x14ac:dyDescent="0.25">
      <c r="A74" t="s">
        <v>99</v>
      </c>
      <c r="B74" t="s">
        <v>123</v>
      </c>
    </row>
    <row r="75" spans="1:2" x14ac:dyDescent="0.25">
      <c r="A75" t="s">
        <v>102</v>
      </c>
      <c r="B75" t="s">
        <v>123</v>
      </c>
    </row>
    <row r="76" spans="1:2" x14ac:dyDescent="0.25">
      <c r="A76" t="s">
        <v>70</v>
      </c>
      <c r="B76" t="s">
        <v>123</v>
      </c>
    </row>
    <row r="77" spans="1:2" x14ac:dyDescent="0.25">
      <c r="A77" t="s">
        <v>52</v>
      </c>
      <c r="B77" t="s">
        <v>123</v>
      </c>
    </row>
    <row r="78" spans="1:2" x14ac:dyDescent="0.25">
      <c r="A78" t="s">
        <v>11</v>
      </c>
      <c r="B78" t="s">
        <v>124</v>
      </c>
    </row>
    <row r="79" spans="1:2" x14ac:dyDescent="0.25">
      <c r="A79" t="s">
        <v>32</v>
      </c>
      <c r="B79" t="s">
        <v>124</v>
      </c>
    </row>
    <row r="80" spans="1:2" x14ac:dyDescent="0.25">
      <c r="A80" t="s">
        <v>55</v>
      </c>
      <c r="B80" t="s">
        <v>124</v>
      </c>
    </row>
    <row r="81" spans="1:2" x14ac:dyDescent="0.25">
      <c r="A81" t="s">
        <v>39</v>
      </c>
      <c r="B81" t="s">
        <v>125</v>
      </c>
    </row>
    <row r="82" spans="1:2" x14ac:dyDescent="0.25">
      <c r="A82" t="s">
        <v>45</v>
      </c>
      <c r="B82" t="s">
        <v>125</v>
      </c>
    </row>
    <row r="83" spans="1:2" x14ac:dyDescent="0.25">
      <c r="A83" t="s">
        <v>13</v>
      </c>
      <c r="B83" t="s">
        <v>125</v>
      </c>
    </row>
    <row r="84" spans="1:2" x14ac:dyDescent="0.25">
      <c r="A84" t="s">
        <v>38</v>
      </c>
      <c r="B84" t="s">
        <v>114</v>
      </c>
    </row>
    <row r="85" spans="1:2" x14ac:dyDescent="0.25">
      <c r="A85" t="s">
        <v>36</v>
      </c>
      <c r="B85" t="s">
        <v>114</v>
      </c>
    </row>
    <row r="86" spans="1:2" x14ac:dyDescent="0.25">
      <c r="A86" t="s">
        <v>101</v>
      </c>
      <c r="B86" t="s">
        <v>114</v>
      </c>
    </row>
    <row r="87" spans="1:2" x14ac:dyDescent="0.25">
      <c r="A87" t="s">
        <v>41</v>
      </c>
      <c r="B87" t="s">
        <v>114</v>
      </c>
    </row>
    <row r="88" spans="1:2" x14ac:dyDescent="0.25">
      <c r="A88" t="s">
        <v>51</v>
      </c>
      <c r="B88" t="s">
        <v>114</v>
      </c>
    </row>
    <row r="89" spans="1:2" x14ac:dyDescent="0.25">
      <c r="A89" t="s">
        <v>10</v>
      </c>
      <c r="B89" t="s">
        <v>114</v>
      </c>
    </row>
    <row r="90" spans="1:2" x14ac:dyDescent="0.25">
      <c r="A90" t="s">
        <v>5</v>
      </c>
      <c r="B90" t="s">
        <v>126</v>
      </c>
    </row>
    <row r="91" spans="1:2" x14ac:dyDescent="0.25">
      <c r="A91" t="s">
        <v>69</v>
      </c>
      <c r="B91" t="s">
        <v>126</v>
      </c>
    </row>
    <row r="92" spans="1:2" x14ac:dyDescent="0.25">
      <c r="A92" t="s">
        <v>84</v>
      </c>
      <c r="B92" t="s">
        <v>126</v>
      </c>
    </row>
    <row r="93" spans="1:2" x14ac:dyDescent="0.25">
      <c r="A93" t="s">
        <v>6</v>
      </c>
      <c r="B93" t="s">
        <v>126</v>
      </c>
    </row>
    <row r="94" spans="1:2" x14ac:dyDescent="0.25">
      <c r="A94" t="s">
        <v>20</v>
      </c>
      <c r="B94" t="s">
        <v>126</v>
      </c>
    </row>
    <row r="95" spans="1:2" x14ac:dyDescent="0.25">
      <c r="A95" t="s">
        <v>78</v>
      </c>
      <c r="B95" t="s">
        <v>126</v>
      </c>
    </row>
    <row r="96" spans="1:2" x14ac:dyDescent="0.25">
      <c r="A96" t="s">
        <v>80</v>
      </c>
      <c r="B96" t="s">
        <v>126</v>
      </c>
    </row>
    <row r="97" spans="1:2" x14ac:dyDescent="0.25">
      <c r="A97" t="s">
        <v>59</v>
      </c>
      <c r="B97" t="s">
        <v>127</v>
      </c>
    </row>
    <row r="98" spans="1:2" x14ac:dyDescent="0.25">
      <c r="A98" t="s">
        <v>76</v>
      </c>
      <c r="B98" t="s">
        <v>127</v>
      </c>
    </row>
    <row r="99" spans="1:2" x14ac:dyDescent="0.25">
      <c r="A99" t="s">
        <v>89</v>
      </c>
      <c r="B99" t="s">
        <v>115</v>
      </c>
    </row>
    <row r="100" spans="1:2" x14ac:dyDescent="0.25">
      <c r="A100" t="s">
        <v>61</v>
      </c>
      <c r="B100" t="s">
        <v>116</v>
      </c>
    </row>
    <row r="101" spans="1:2" x14ac:dyDescent="0.25">
      <c r="A101" t="s">
        <v>12</v>
      </c>
      <c r="B10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Sheet4</vt:lpstr>
      <vt:lpstr>data</vt:lpstr>
      <vt:lpstr>mappings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Phoenix Ouyang</dc:creator>
  <cp:lastModifiedBy>Phoenix Ouyang</cp:lastModifiedBy>
  <dcterms:created xsi:type="dcterms:W3CDTF">2026-03-29T02:06:54Z</dcterms:created>
  <dcterms:modified xsi:type="dcterms:W3CDTF">2026-06-09T17:29:56Z</dcterms:modified>
</cp:coreProperties>
</file>